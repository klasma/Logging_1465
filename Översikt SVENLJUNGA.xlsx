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46205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46205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46205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46205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25755-2025</t>
        </is>
      </c>
      <c r="B7" s="1" t="n">
        <v>45804</v>
      </c>
      <c r="C7" s="1" t="n">
        <v>46205</v>
      </c>
      <c r="D7" t="inlineStr">
        <is>
          <t>VÄSTRA GÖTALANDS LÄN</t>
        </is>
      </c>
      <c r="E7" t="inlineStr">
        <is>
          <t>SVENLJUNGA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HYPERLINK("https://klasma.github.io/Logging_1465/artfynd/A 25755-2025 artfynd.xlsx", "A 25755-2025")</f>
        <v/>
      </c>
      <c r="T7">
        <f>HYPERLINK("https://klasma.github.io/Logging_1465/kartor/A 25755-2025 karta.png", "A 25755-2025")</f>
        <v/>
      </c>
      <c r="V7">
        <f>HYPERLINK("https://klasma.github.io/Logging_1465/klagomål/A 25755-2025 FSC-klagomål.docx", "A 25755-2025")</f>
        <v/>
      </c>
      <c r="W7">
        <f>HYPERLINK("https://klasma.github.io/Logging_1465/klagomålsmail/A 25755-2025 FSC-klagomål mail.docx", "A 25755-2025")</f>
        <v/>
      </c>
      <c r="X7">
        <f>HYPERLINK("https://klasma.github.io/Logging_1465/tillsyn/A 25755-2025 tillsynsbegäran.docx", "A 25755-2025")</f>
        <v/>
      </c>
      <c r="Y7">
        <f>HYPERLINK("https://klasma.github.io/Logging_1465/tillsynsmail/A 25755-2025 tillsynsbegäran mail.docx", "A 25755-2025")</f>
        <v/>
      </c>
    </row>
    <row r="8" ht="15" customHeight="1">
      <c r="A8" t="inlineStr">
        <is>
          <t>A 516-2026</t>
        </is>
      </c>
      <c r="B8" s="1" t="n">
        <v>46029</v>
      </c>
      <c r="C8" s="1" t="n">
        <v>46205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HYPERLINK("https://klasma.github.io/Logging_1465/artfynd/A 516-2026 artfynd.xlsx", "A 516-2026")</f>
        <v/>
      </c>
      <c r="T8">
        <f>HYPERLINK("https://klasma.github.io/Logging_1465/kartor/A 516-2026 karta.png", "A 516-2026")</f>
        <v/>
      </c>
      <c r="V8">
        <f>HYPERLINK("https://klasma.github.io/Logging_1465/klagomål/A 516-2026 FSC-klagomål.docx", "A 516-2026")</f>
        <v/>
      </c>
      <c r="W8">
        <f>HYPERLINK("https://klasma.github.io/Logging_1465/klagomålsmail/A 516-2026 FSC-klagomål mail.docx", "A 516-2026")</f>
        <v/>
      </c>
      <c r="X8">
        <f>HYPERLINK("https://klasma.github.io/Logging_1465/tillsyn/A 516-2026 tillsynsbegäran.docx", "A 516-2026")</f>
        <v/>
      </c>
      <c r="Y8">
        <f>HYPERLINK("https://klasma.github.io/Logging_1465/tillsynsmail/A 516-2026 tillsynsbegäran mail.docx", "A 516-2026")</f>
        <v/>
      </c>
    </row>
    <row r="9" ht="15" customHeight="1">
      <c r="A9" t="inlineStr">
        <is>
          <t>A 12658-2025</t>
        </is>
      </c>
      <c r="B9" s="1" t="n">
        <v>45733</v>
      </c>
      <c r="C9" s="1" t="n">
        <v>46205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62149-2025</t>
        </is>
      </c>
      <c r="B10" s="1" t="n">
        <v>46006</v>
      </c>
      <c r="C10" s="1" t="n">
        <v>46205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Bårdlav</t>
        </is>
      </c>
      <c r="S10">
        <f>HYPERLINK("https://klasma.github.io/Logging_1465/artfynd/A 62149-2025 artfynd.xlsx", "A 62149-2025")</f>
        <v/>
      </c>
      <c r="T10">
        <f>HYPERLINK("https://klasma.github.io/Logging_1465/kartor/A 62149-2025 karta.png", "A 62149-2025")</f>
        <v/>
      </c>
      <c r="V10">
        <f>HYPERLINK("https://klasma.github.io/Logging_1465/klagomål/A 62149-2025 FSC-klagomål.docx", "A 62149-2025")</f>
        <v/>
      </c>
      <c r="W10">
        <f>HYPERLINK("https://klasma.github.io/Logging_1465/klagomålsmail/A 62149-2025 FSC-klagomål mail.docx", "A 62149-2025")</f>
        <v/>
      </c>
      <c r="X10">
        <f>HYPERLINK("https://klasma.github.io/Logging_1465/tillsyn/A 62149-2025 tillsynsbegäran.docx", "A 62149-2025")</f>
        <v/>
      </c>
      <c r="Y10">
        <f>HYPERLINK("https://klasma.github.io/Logging_1465/tillsynsmail/A 62149-2025 tillsynsbegäran mail.docx", "A 62149-2025")</f>
        <v/>
      </c>
    </row>
    <row r="11" ht="15" customHeight="1">
      <c r="A11" t="inlineStr">
        <is>
          <t>A 11966-2026</t>
        </is>
      </c>
      <c r="B11" s="1" t="n">
        <v>46085</v>
      </c>
      <c r="C11" s="1" t="n">
        <v>46205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HYPERLINK("https://klasma.github.io/Logging_1465/artfynd/A 11966-2026 artfynd.xlsx", "A 11966-2026")</f>
        <v/>
      </c>
      <c r="T11">
        <f>HYPERLINK("https://klasma.github.io/Logging_1465/kartor/A 11966-2026 karta.png", "A 11966-2026")</f>
        <v/>
      </c>
      <c r="V11">
        <f>HYPERLINK("https://klasma.github.io/Logging_1465/klagomål/A 11966-2026 FSC-klagomål.docx", "A 11966-2026")</f>
        <v/>
      </c>
      <c r="W11">
        <f>HYPERLINK("https://klasma.github.io/Logging_1465/klagomålsmail/A 11966-2026 FSC-klagomål mail.docx", "A 11966-2026")</f>
        <v/>
      </c>
      <c r="X11">
        <f>HYPERLINK("https://klasma.github.io/Logging_1465/tillsyn/A 11966-2026 tillsynsbegäran.docx", "A 11966-2026")</f>
        <v/>
      </c>
      <c r="Y11">
        <f>HYPERLINK("https://klasma.github.io/Logging_1465/tillsynsmail/A 11966-2026 tillsynsbegäran mail.docx", "A 11966-2026")</f>
        <v/>
      </c>
    </row>
    <row r="12" ht="15" customHeight="1">
      <c r="A12" t="inlineStr">
        <is>
          <t>A 16061-2025</t>
        </is>
      </c>
      <c r="B12" s="1" t="n">
        <v>45749</v>
      </c>
      <c r="C12" s="1" t="n">
        <v>46205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16061-2025 artfynd.xlsx", "A 16061-2025")</f>
        <v/>
      </c>
      <c r="T12">
        <f>HYPERLINK("https://klasma.github.io/Logging_1465/kartor/A 16061-2025 karta.png", "A 16061-2025")</f>
        <v/>
      </c>
      <c r="V12">
        <f>HYPERLINK("https://klasma.github.io/Logging_1465/klagomål/A 16061-2025 FSC-klagomål.docx", "A 16061-2025")</f>
        <v/>
      </c>
      <c r="W12">
        <f>HYPERLINK("https://klasma.github.io/Logging_1465/klagomålsmail/A 16061-2025 FSC-klagomål mail.docx", "A 16061-2025")</f>
        <v/>
      </c>
      <c r="X12">
        <f>HYPERLINK("https://klasma.github.io/Logging_1465/tillsyn/A 16061-2025 tillsynsbegäran.docx", "A 16061-2025")</f>
        <v/>
      </c>
      <c r="Y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s="1" t="n">
        <v>44448</v>
      </c>
      <c r="C13" s="1" t="n">
        <v>46205</v>
      </c>
      <c r="D13" t="inlineStr">
        <is>
          <t>VÄSTRA GÖTALANDS LÄN</t>
        </is>
      </c>
      <c r="E13" t="inlineStr">
        <is>
          <t>SVENLJUNGA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HYPERLINK("https://klasma.github.io/Logging_1465/artfynd/A 47690-2021 artfynd.xlsx", "A 47690-2021")</f>
        <v/>
      </c>
      <c r="T13">
        <f>HYPERLINK("https://klasma.github.io/Logging_1465/kartor/A 47690-2021 karta.png", "A 47690-2021")</f>
        <v/>
      </c>
      <c r="V13">
        <f>HYPERLINK("https://klasma.github.io/Logging_1465/klagomål/A 47690-2021 FSC-klagomål.docx", "A 47690-2021")</f>
        <v/>
      </c>
      <c r="W13">
        <f>HYPERLINK("https://klasma.github.io/Logging_1465/klagomålsmail/A 47690-2021 FSC-klagomål mail.docx", "A 47690-2021")</f>
        <v/>
      </c>
      <c r="X13">
        <f>HYPERLINK("https://klasma.github.io/Logging_1465/tillsyn/A 47690-2021 tillsynsbegäran.docx", "A 47690-2021")</f>
        <v/>
      </c>
      <c r="Y13">
        <f>HYPERLINK("https://klasma.github.io/Logging_1465/tillsynsmail/A 47690-2021 tillsynsbegäran mail.docx", "A 47690-2021")</f>
        <v/>
      </c>
    </row>
    <row r="14" ht="15" customHeight="1">
      <c r="A14" t="inlineStr">
        <is>
          <t>A 26235-2026</t>
        </is>
      </c>
      <c r="B14" s="1" t="n">
        <v>46182</v>
      </c>
      <c r="C14" s="1" t="n">
        <v>46205</v>
      </c>
      <c r="D14" t="inlineStr">
        <is>
          <t>VÄSTRA GÖTALANDS LÄN</t>
        </is>
      </c>
      <c r="E14" t="inlineStr">
        <is>
          <t>SVENLJUNGA</t>
        </is>
      </c>
      <c r="G14" t="n">
        <v>9.800000000000001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HYPERLINK("https://klasma.github.io/Logging_1465/artfynd/A 26235-2026 artfynd.xlsx", "A 26235-2026")</f>
        <v/>
      </c>
      <c r="T14">
        <f>HYPERLINK("https://klasma.github.io/Logging_1465/kartor/A 26235-2026 karta.png", "A 26235-2026")</f>
        <v/>
      </c>
      <c r="V14">
        <f>HYPERLINK("https://klasma.github.io/Logging_1465/klagomål/A 26235-2026 FSC-klagomål.docx", "A 26235-2026")</f>
        <v/>
      </c>
      <c r="W14">
        <f>HYPERLINK("https://klasma.github.io/Logging_1465/klagomålsmail/A 26235-2026 FSC-klagomål mail.docx", "A 26235-2026")</f>
        <v/>
      </c>
      <c r="X14">
        <f>HYPERLINK("https://klasma.github.io/Logging_1465/tillsyn/A 26235-2026 tillsynsbegäran.docx", "A 26235-2026")</f>
        <v/>
      </c>
      <c r="Y14">
        <f>HYPERLINK("https://klasma.github.io/Logging_1465/tillsynsmail/A 26235-2026 tillsynsbegäran mail.docx", "A 26235-2026")</f>
        <v/>
      </c>
    </row>
    <row r="15" ht="15" customHeight="1">
      <c r="A15" t="inlineStr">
        <is>
          <t>A 63476-2023</t>
        </is>
      </c>
      <c r="B15" s="1" t="n">
        <v>45274</v>
      </c>
      <c r="C15" s="1" t="n">
        <v>46205</v>
      </c>
      <c r="D15" t="inlineStr">
        <is>
          <t>VÄSTRA GÖTALANDS LÄN</t>
        </is>
      </c>
      <c r="E15" t="inlineStr">
        <is>
          <t>SVENLJUNGA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HYPERLINK("https://klasma.github.io/Logging_1465/artfynd/A 63476-2023 artfynd.xlsx", "A 63476-2023")</f>
        <v/>
      </c>
      <c r="T15">
        <f>HYPERLINK("https://klasma.github.io/Logging_1465/kartor/A 63476-2023 karta.png", "A 63476-2023")</f>
        <v/>
      </c>
      <c r="V15">
        <f>HYPERLINK("https://klasma.github.io/Logging_1465/klagomål/A 63476-2023 FSC-klagomål.docx", "A 63476-2023")</f>
        <v/>
      </c>
      <c r="W15">
        <f>HYPERLINK("https://klasma.github.io/Logging_1465/klagomålsmail/A 63476-2023 FSC-klagomål mail.docx", "A 63476-2023")</f>
        <v/>
      </c>
      <c r="X15">
        <f>HYPERLINK("https://klasma.github.io/Logging_1465/tillsyn/A 63476-2023 tillsynsbegäran.docx", "A 63476-2023")</f>
        <v/>
      </c>
      <c r="Y15">
        <f>HYPERLINK("https://klasma.github.io/Logging_1465/tillsynsmail/A 63476-2023 tillsynsbegäran mail.docx", "A 63476-2023")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46205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29479-2026</t>
        </is>
      </c>
      <c r="B17" s="1" t="n">
        <v>46203</v>
      </c>
      <c r="C17" s="1" t="n">
        <v>46205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29479-2026 artfynd.xlsx", "A 29479-2026")</f>
        <v/>
      </c>
      <c r="T17">
        <f>HYPERLINK("https://klasma.github.io/Logging_1465/kartor/A 29479-2026 karta.png", "A 29479-2026")</f>
        <v/>
      </c>
      <c r="V17">
        <f>HYPERLINK("https://klasma.github.io/Logging_1465/klagomål/A 29479-2026 FSC-klagomål.docx", "A 29479-2026")</f>
        <v/>
      </c>
      <c r="W17">
        <f>HYPERLINK("https://klasma.github.io/Logging_1465/klagomålsmail/A 29479-2026 FSC-klagomål mail.docx", "A 29479-2026")</f>
        <v/>
      </c>
      <c r="X17">
        <f>HYPERLINK("https://klasma.github.io/Logging_1465/tillsyn/A 29479-2026 tillsynsbegäran.docx", "A 29479-2026")</f>
        <v/>
      </c>
      <c r="Y17">
        <f>HYPERLINK("https://klasma.github.io/Logging_1465/tillsynsmail/A 29479-2026 tillsynsbegäran mail.docx", "A 29479-2026")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46205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46205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46205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46205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46205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46205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46205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46205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46205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46205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</v>
      </c>
      <c r="C28" s="1" t="n">
        <v>46205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</v>
      </c>
      <c r="C29" s="1" t="n">
        <v>46205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46205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</v>
      </c>
      <c r="C31" s="1" t="n">
        <v>46205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</v>
      </c>
      <c r="C32" s="1" t="n">
        <v>46205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</v>
      </c>
      <c r="C33" s="1" t="n">
        <v>46205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46205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</v>
      </c>
      <c r="C35" s="1" t="n">
        <v>46205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61046-2021</t>
        </is>
      </c>
      <c r="B36" s="1" t="n">
        <v>44497</v>
      </c>
      <c r="C36" s="1" t="n">
        <v>46205</v>
      </c>
      <c r="D36" t="inlineStr">
        <is>
          <t>VÄSTRA GÖTALANDS LÄN</t>
        </is>
      </c>
      <c r="E36" t="inlineStr">
        <is>
          <t>SVENLJUNGA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</v>
      </c>
      <c r="C37" s="1" t="n">
        <v>46205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46205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</v>
      </c>
      <c r="C39" s="1" t="n">
        <v>46205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</v>
      </c>
      <c r="C40" s="1" t="n">
        <v>46205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</v>
      </c>
      <c r="C41" s="1" t="n">
        <v>46205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</v>
      </c>
      <c r="C42" s="1" t="n">
        <v>46205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46205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50532-2021</t>
        </is>
      </c>
      <c r="B44" s="1" t="n">
        <v>44459</v>
      </c>
      <c r="C44" s="1" t="n">
        <v>46205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47189-2021</t>
        </is>
      </c>
      <c r="B45" s="1" t="n">
        <v>44447</v>
      </c>
      <c r="C45" s="1" t="n">
        <v>46205</v>
      </c>
      <c r="D45" t="inlineStr">
        <is>
          <t>VÄSTRA GÖTALANDS LÄN</t>
        </is>
      </c>
      <c r="E45" t="inlineStr">
        <is>
          <t>SVENLJUNGA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49082-2021</t>
        </is>
      </c>
      <c r="B46" s="1" t="n">
        <v>44453</v>
      </c>
      <c r="C46" s="1" t="n">
        <v>46205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66018-2021</t>
        </is>
      </c>
      <c r="B47" s="1" t="n">
        <v>44517</v>
      </c>
      <c r="C47" s="1" t="n">
        <v>46205</v>
      </c>
      <c r="D47" t="inlineStr">
        <is>
          <t>VÄSTRA GÖTALANDS LÄN</t>
        </is>
      </c>
      <c r="E47" t="inlineStr">
        <is>
          <t>SVENLJUNGA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55323-2021</t>
        </is>
      </c>
      <c r="B48" s="1" t="n">
        <v>44475</v>
      </c>
      <c r="C48" s="1" t="n">
        <v>46205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55332-2021</t>
        </is>
      </c>
      <c r="B49" s="1" t="n">
        <v>44475</v>
      </c>
      <c r="C49" s="1" t="n">
        <v>46205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</v>
      </c>
      <c r="C50" s="1" t="n">
        <v>46205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46390-2021</t>
        </is>
      </c>
      <c r="B51" s="1" t="n">
        <v>44443</v>
      </c>
      <c r="C51" s="1" t="n">
        <v>46205</v>
      </c>
      <c r="D51" t="inlineStr">
        <is>
          <t>VÄSTRA GÖTALANDS LÄN</t>
        </is>
      </c>
      <c r="E51" t="inlineStr">
        <is>
          <t>SVENLJUNGA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8278-2022</t>
        </is>
      </c>
      <c r="B52" s="1" t="n">
        <v>44610</v>
      </c>
      <c r="C52" s="1" t="n">
        <v>46205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46205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</v>
      </c>
      <c r="C54" s="1" t="n">
        <v>46205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</v>
      </c>
      <c r="C55" s="1" t="n">
        <v>46205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</v>
      </c>
      <c r="C56" s="1" t="n">
        <v>46205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46205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58342-2021</t>
        </is>
      </c>
      <c r="B58" s="1" t="n">
        <v>44488</v>
      </c>
      <c r="C58" s="1" t="n">
        <v>46205</v>
      </c>
      <c r="D58" t="inlineStr">
        <is>
          <t>VÄSTRA GÖTALANDS LÄN</t>
        </is>
      </c>
      <c r="E58" t="inlineStr">
        <is>
          <t>SVENLJUNGA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54279-2022</t>
        </is>
      </c>
      <c r="B59" s="1" t="n">
        <v>44882</v>
      </c>
      <c r="C59" s="1" t="n">
        <v>46205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</v>
      </c>
      <c r="C60" s="1" t="n">
        <v>46205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46205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</v>
      </c>
      <c r="C62" s="1" t="n">
        <v>46205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69092-2021</t>
        </is>
      </c>
      <c r="B63" s="1" t="n">
        <v>44530</v>
      </c>
      <c r="C63" s="1" t="n">
        <v>46205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33675-2022</t>
        </is>
      </c>
      <c r="B64" s="1" t="n">
        <v>44789</v>
      </c>
      <c r="C64" s="1" t="n">
        <v>46205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</v>
      </c>
      <c r="C65" s="1" t="n">
        <v>46205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</v>
      </c>
      <c r="C66" s="1" t="n">
        <v>46205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</v>
      </c>
      <c r="C67" s="1" t="n">
        <v>46205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46205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65974-2021</t>
        </is>
      </c>
      <c r="B69" s="1" t="n">
        <v>44517</v>
      </c>
      <c r="C69" s="1" t="n">
        <v>46205</v>
      </c>
      <c r="D69" t="inlineStr">
        <is>
          <t>VÄSTRA GÖTALANDS LÄN</t>
        </is>
      </c>
      <c r="E69" t="inlineStr">
        <is>
          <t>SVENLJUNGA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69101-2021</t>
        </is>
      </c>
      <c r="B70" s="1" t="n">
        <v>44530</v>
      </c>
      <c r="C70" s="1" t="n">
        <v>46205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54650-2022</t>
        </is>
      </c>
      <c r="B71" s="1" t="n">
        <v>44883</v>
      </c>
      <c r="C71" s="1" t="n">
        <v>46205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</v>
      </c>
      <c r="C72" s="1" t="n">
        <v>46205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49188-2021</t>
        </is>
      </c>
      <c r="B73" s="1" t="n">
        <v>44454</v>
      </c>
      <c r="C73" s="1" t="n">
        <v>46205</v>
      </c>
      <c r="D73" t="inlineStr">
        <is>
          <t>VÄSTRA GÖTALANDS LÄN</t>
        </is>
      </c>
      <c r="E73" t="inlineStr">
        <is>
          <t>SVENLJUNGA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65115-2021</t>
        </is>
      </c>
      <c r="B74" s="1" t="n">
        <v>44515</v>
      </c>
      <c r="C74" s="1" t="n">
        <v>46205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65072-2021</t>
        </is>
      </c>
      <c r="B75" s="1" t="n">
        <v>44515</v>
      </c>
      <c r="C75" s="1" t="n">
        <v>46205</v>
      </c>
      <c r="D75" t="inlineStr">
        <is>
          <t>VÄSTRA GÖTALANDS LÄN</t>
        </is>
      </c>
      <c r="E75" t="inlineStr">
        <is>
          <t>SVENLJUNGA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46205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12419-2022</t>
        </is>
      </c>
      <c r="B77" s="1" t="n">
        <v>44638</v>
      </c>
      <c r="C77" s="1" t="n">
        <v>46205</v>
      </c>
      <c r="D77" t="inlineStr">
        <is>
          <t>VÄSTRA GÖTALANDS LÄN</t>
        </is>
      </c>
      <c r="E77" t="inlineStr">
        <is>
          <t>SVENLJUNGA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21439-2022</t>
        </is>
      </c>
      <c r="B78" s="1" t="n">
        <v>44706</v>
      </c>
      <c r="C78" s="1" t="n">
        <v>46205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47723-2021</t>
        </is>
      </c>
      <c r="B79" s="1" t="n">
        <v>44448</v>
      </c>
      <c r="C79" s="1" t="n">
        <v>46205</v>
      </c>
      <c r="D79" t="inlineStr">
        <is>
          <t>VÄSTRA GÖTALANDS LÄN</t>
        </is>
      </c>
      <c r="E79" t="inlineStr">
        <is>
          <t>SVENLJUNGA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8956-2022</t>
        </is>
      </c>
      <c r="B80" s="1" t="n">
        <v>44614</v>
      </c>
      <c r="C80" s="1" t="n">
        <v>46205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15223-2022</t>
        </is>
      </c>
      <c r="B81" s="1" t="n">
        <v>44658</v>
      </c>
      <c r="C81" s="1" t="n">
        <v>46205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65970-2021</t>
        </is>
      </c>
      <c r="B82" s="1" t="n">
        <v>44517</v>
      </c>
      <c r="C82" s="1" t="n">
        <v>46205</v>
      </c>
      <c r="D82" t="inlineStr">
        <is>
          <t>VÄSTRA GÖTALANDS LÄN</t>
        </is>
      </c>
      <c r="E82" t="inlineStr">
        <is>
          <t>SVENLJUNGA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33679-2022</t>
        </is>
      </c>
      <c r="B83" s="1" t="n">
        <v>44789</v>
      </c>
      <c r="C83" s="1" t="n">
        <v>46205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38476-2022</t>
        </is>
      </c>
      <c r="B84" s="1" t="n">
        <v>44813</v>
      </c>
      <c r="C84" s="1" t="n">
        <v>46205</v>
      </c>
      <c r="D84" t="inlineStr">
        <is>
          <t>VÄSTRA GÖTALANDS LÄN</t>
        </is>
      </c>
      <c r="E84" t="inlineStr">
        <is>
          <t>SVENLJUNGA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48590-2022</t>
        </is>
      </c>
      <c r="B85" s="1" t="n">
        <v>44859</v>
      </c>
      <c r="C85" s="1" t="n">
        <v>46205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10710-2023</t>
        </is>
      </c>
      <c r="B86" s="1" t="n">
        <v>44988</v>
      </c>
      <c r="C86" s="1" t="n">
        <v>46205</v>
      </c>
      <c r="D86" t="inlineStr">
        <is>
          <t>VÄSTRA GÖTALANDS LÄN</t>
        </is>
      </c>
      <c r="E86" t="inlineStr">
        <is>
          <t>SVENLJUNGA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37852-2022</t>
        </is>
      </c>
      <c r="B87" s="1" t="n">
        <v>44811</v>
      </c>
      <c r="C87" s="1" t="n">
        <v>46205</v>
      </c>
      <c r="D87" t="inlineStr">
        <is>
          <t>VÄSTRA GÖTALANDS LÄN</t>
        </is>
      </c>
      <c r="E87" t="inlineStr">
        <is>
          <t>SVENLJUNGA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49538-2023</t>
        </is>
      </c>
      <c r="B88" s="1" t="n">
        <v>45211</v>
      </c>
      <c r="C88" s="1" t="n">
        <v>46205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16770-2024</t>
        </is>
      </c>
      <c r="B89" s="1" t="n">
        <v>45411</v>
      </c>
      <c r="C89" s="1" t="n">
        <v>46205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18663-2025</t>
        </is>
      </c>
      <c r="B90" s="1" t="n">
        <v>45763</v>
      </c>
      <c r="C90" s="1" t="n">
        <v>46205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13024-2025</t>
        </is>
      </c>
      <c r="B91" s="1" t="n">
        <v>45734</v>
      </c>
      <c r="C91" s="1" t="n">
        <v>46205</v>
      </c>
      <c r="D91" t="inlineStr">
        <is>
          <t>VÄSTRA GÖTALANDS LÄN</t>
        </is>
      </c>
      <c r="E91" t="inlineStr">
        <is>
          <t>SVENLJUNGA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43618-2022</t>
        </is>
      </c>
      <c r="B92" s="1" t="n">
        <v>44837</v>
      </c>
      <c r="C92" s="1" t="n">
        <v>46205</v>
      </c>
      <c r="D92" t="inlineStr">
        <is>
          <t>VÄSTRA GÖTALANDS LÄN</t>
        </is>
      </c>
      <c r="E92" t="inlineStr">
        <is>
          <t>SVENLJUNGA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46637-2022</t>
        </is>
      </c>
      <c r="B93" s="1" t="n">
        <v>44849</v>
      </c>
      <c r="C93" s="1" t="n">
        <v>46205</v>
      </c>
      <c r="D93" t="inlineStr">
        <is>
          <t>VÄSTRA GÖTALANDS LÄN</t>
        </is>
      </c>
      <c r="E93" t="inlineStr">
        <is>
          <t>SVENLJUNGA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58480-2022</t>
        </is>
      </c>
      <c r="B94" s="1" t="n">
        <v>44902</v>
      </c>
      <c r="C94" s="1" t="n">
        <v>46205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47860-2022</t>
        </is>
      </c>
      <c r="B95" s="1" t="n">
        <v>44855</v>
      </c>
      <c r="C95" s="1" t="n">
        <v>46205</v>
      </c>
      <c r="D95" t="inlineStr">
        <is>
          <t>VÄSTRA GÖTALANDS LÄN</t>
        </is>
      </c>
      <c r="E95" t="inlineStr">
        <is>
          <t>SVENLJUNGA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13139-2024</t>
        </is>
      </c>
      <c r="B96" s="1" t="n">
        <v>45386</v>
      </c>
      <c r="C96" s="1" t="n">
        <v>46205</v>
      </c>
      <c r="D96" t="inlineStr">
        <is>
          <t>VÄSTRA GÖTALANDS LÄN</t>
        </is>
      </c>
      <c r="E96" t="inlineStr">
        <is>
          <t>SVENLJUNGA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22188-2023</t>
        </is>
      </c>
      <c r="B97" s="1" t="n">
        <v>45069</v>
      </c>
      <c r="C97" s="1" t="n">
        <v>46205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45483-2021</t>
        </is>
      </c>
      <c r="B98" s="1" t="n">
        <v>44440</v>
      </c>
      <c r="C98" s="1" t="n">
        <v>46205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58341-2023</t>
        </is>
      </c>
      <c r="B99" s="1" t="n">
        <v>45250</v>
      </c>
      <c r="C99" s="1" t="n">
        <v>46205</v>
      </c>
      <c r="D99" t="inlineStr">
        <is>
          <t>VÄSTRA GÖTALANDS LÄN</t>
        </is>
      </c>
      <c r="E99" t="inlineStr">
        <is>
          <t>SVENLJUNGA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41880-2022</t>
        </is>
      </c>
      <c r="B100" s="1" t="n">
        <v>44830</v>
      </c>
      <c r="C100" s="1" t="n">
        <v>46205</v>
      </c>
      <c r="D100" t="inlineStr">
        <is>
          <t>VÄSTRA GÖTALANDS LÄN</t>
        </is>
      </c>
      <c r="E100" t="inlineStr">
        <is>
          <t>SVENLJUNGA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16754-2024</t>
        </is>
      </c>
      <c r="B101" s="1" t="n">
        <v>45411</v>
      </c>
      <c r="C101" s="1" t="n">
        <v>46205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18149-2024</t>
        </is>
      </c>
      <c r="B102" s="1" t="n">
        <v>45420</v>
      </c>
      <c r="C102" s="1" t="n">
        <v>46205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62303-2023</t>
        </is>
      </c>
      <c r="B103" s="1" t="n">
        <v>45267</v>
      </c>
      <c r="C103" s="1" t="n">
        <v>46205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30103-2024</t>
        </is>
      </c>
      <c r="B104" s="1" t="n">
        <v>45489</v>
      </c>
      <c r="C104" s="1" t="n">
        <v>46205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65961-2021</t>
        </is>
      </c>
      <c r="B105" s="1" t="n">
        <v>44517</v>
      </c>
      <c r="C105" s="1" t="n">
        <v>46205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29808-2024</t>
        </is>
      </c>
      <c r="B106" s="1" t="n">
        <v>45485</v>
      </c>
      <c r="C106" s="1" t="n">
        <v>46205</v>
      </c>
      <c r="D106" t="inlineStr">
        <is>
          <t>VÄSTRA GÖTALANDS LÄN</t>
        </is>
      </c>
      <c r="E106" t="inlineStr">
        <is>
          <t>SVENLJUNGA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30988-2023</t>
        </is>
      </c>
      <c r="B107" s="1" t="n">
        <v>45113</v>
      </c>
      <c r="C107" s="1" t="n">
        <v>46205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29815-2024</t>
        </is>
      </c>
      <c r="B108" s="1" t="n">
        <v>45485</v>
      </c>
      <c r="C108" s="1" t="n">
        <v>46205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29816-2024</t>
        </is>
      </c>
      <c r="B109" s="1" t="n">
        <v>45485</v>
      </c>
      <c r="C109" s="1" t="n">
        <v>46205</v>
      </c>
      <c r="D109" t="inlineStr">
        <is>
          <t>VÄSTRA GÖTALANDS LÄN</t>
        </is>
      </c>
      <c r="E109" t="inlineStr">
        <is>
          <t>SVENLJUNGA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9471-2023</t>
        </is>
      </c>
      <c r="B110" s="1" t="n">
        <v>44981</v>
      </c>
      <c r="C110" s="1" t="n">
        <v>46205</v>
      </c>
      <c r="D110" t="inlineStr">
        <is>
          <t>VÄSTRA GÖTALANDS LÄN</t>
        </is>
      </c>
      <c r="E110" t="inlineStr">
        <is>
          <t>SVENLJUNGA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57185-2022</t>
        </is>
      </c>
      <c r="B111" s="1" t="n">
        <v>44895</v>
      </c>
      <c r="C111" s="1" t="n">
        <v>46205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51905-2022</t>
        </is>
      </c>
      <c r="B112" s="1" t="n">
        <v>44872</v>
      </c>
      <c r="C112" s="1" t="n">
        <v>46205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27489-2024</t>
        </is>
      </c>
      <c r="B113" s="1" t="n">
        <v>45474</v>
      </c>
      <c r="C113" s="1" t="n">
        <v>46205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28271-2023</t>
        </is>
      </c>
      <c r="B114" s="1" t="n">
        <v>45099</v>
      </c>
      <c r="C114" s="1" t="n">
        <v>46205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58389-2022</t>
        </is>
      </c>
      <c r="B115" s="1" t="n">
        <v>44901</v>
      </c>
      <c r="C115" s="1" t="n">
        <v>46205</v>
      </c>
      <c r="D115" t="inlineStr">
        <is>
          <t>VÄSTRA GÖTALANDS LÄN</t>
        </is>
      </c>
      <c r="E115" t="inlineStr">
        <is>
          <t>SVENLJUNGA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1600-2026</t>
        </is>
      </c>
      <c r="B116" s="1" t="n">
        <v>46034</v>
      </c>
      <c r="C116" s="1" t="n">
        <v>46205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26615-2025</t>
        </is>
      </c>
      <c r="B117" s="1" t="n">
        <v>45810</v>
      </c>
      <c r="C117" s="1" t="n">
        <v>46205</v>
      </c>
      <c r="D117" t="inlineStr">
        <is>
          <t>VÄSTRA GÖTALANDS LÄN</t>
        </is>
      </c>
      <c r="E117" t="inlineStr">
        <is>
          <t>SVENLJUNGA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26616-2025</t>
        </is>
      </c>
      <c r="B118" s="1" t="n">
        <v>45810</v>
      </c>
      <c r="C118" s="1" t="n">
        <v>46205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18635-2023</t>
        </is>
      </c>
      <c r="B119" s="1" t="n">
        <v>45043</v>
      </c>
      <c r="C119" s="1" t="n">
        <v>46205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19871-2023</t>
        </is>
      </c>
      <c r="B120" s="1" t="n">
        <v>45054</v>
      </c>
      <c r="C120" s="1" t="n">
        <v>46205</v>
      </c>
      <c r="D120" t="inlineStr">
        <is>
          <t>VÄSTRA GÖTALANDS LÄN</t>
        </is>
      </c>
      <c r="E120" t="inlineStr">
        <is>
          <t>SVENLJUNGA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42362-2023</t>
        </is>
      </c>
      <c r="B121" s="1" t="n">
        <v>45180</v>
      </c>
      <c r="C121" s="1" t="n">
        <v>46205</v>
      </c>
      <c r="D121" t="inlineStr">
        <is>
          <t>VÄSTRA GÖTALANDS LÄN</t>
        </is>
      </c>
      <c r="E121" t="inlineStr">
        <is>
          <t>SVENLJUNGA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53746-2024</t>
        </is>
      </c>
      <c r="B122" s="1" t="n">
        <v>45615</v>
      </c>
      <c r="C122" s="1" t="n">
        <v>46205</v>
      </c>
      <c r="D122" t="inlineStr">
        <is>
          <t>VÄSTRA GÖTALANDS LÄN</t>
        </is>
      </c>
      <c r="E122" t="inlineStr">
        <is>
          <t>SVENLJUNGA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27724-2025</t>
        </is>
      </c>
      <c r="B123" s="1" t="n">
        <v>45814</v>
      </c>
      <c r="C123" s="1" t="n">
        <v>46205</v>
      </c>
      <c r="D123" t="inlineStr">
        <is>
          <t>VÄSTRA GÖTALANDS LÄN</t>
        </is>
      </c>
      <c r="E123" t="inlineStr">
        <is>
          <t>SVENLJUNGA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22226-2025</t>
        </is>
      </c>
      <c r="B124" s="1" t="n">
        <v>45785</v>
      </c>
      <c r="C124" s="1" t="n">
        <v>46205</v>
      </c>
      <c r="D124" t="inlineStr">
        <is>
          <t>VÄSTRA GÖTALANDS LÄN</t>
        </is>
      </c>
      <c r="E124" t="inlineStr">
        <is>
          <t>SVENLJUNGA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39009-2025</t>
        </is>
      </c>
      <c r="B125" s="1" t="n">
        <v>45888</v>
      </c>
      <c r="C125" s="1" t="n">
        <v>46205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13004-2025</t>
        </is>
      </c>
      <c r="B126" s="1" t="n">
        <v>45734</v>
      </c>
      <c r="C126" s="1" t="n">
        <v>46205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61171-2022</t>
        </is>
      </c>
      <c r="B127" s="1" t="n">
        <v>44915</v>
      </c>
      <c r="C127" s="1" t="n">
        <v>46205</v>
      </c>
      <c r="D127" t="inlineStr">
        <is>
          <t>VÄSTRA GÖTALANDS LÄN</t>
        </is>
      </c>
      <c r="E127" t="inlineStr">
        <is>
          <t>SVENLJUNGA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11239-2025</t>
        </is>
      </c>
      <c r="B128" s="1" t="n">
        <v>45726</v>
      </c>
      <c r="C128" s="1" t="n">
        <v>46205</v>
      </c>
      <c r="D128" t="inlineStr">
        <is>
          <t>VÄSTRA GÖTALANDS LÄN</t>
        </is>
      </c>
      <c r="E128" t="inlineStr">
        <is>
          <t>SVENLJUNGA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28805-2025</t>
        </is>
      </c>
      <c r="B129" s="1" t="n">
        <v>45820</v>
      </c>
      <c r="C129" s="1" t="n">
        <v>46205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29342-2025</t>
        </is>
      </c>
      <c r="B130" s="1" t="n">
        <v>45824</v>
      </c>
      <c r="C130" s="1" t="n">
        <v>46205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29345-2025</t>
        </is>
      </c>
      <c r="B131" s="1" t="n">
        <v>45824</v>
      </c>
      <c r="C131" s="1" t="n">
        <v>46205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30121-2025</t>
        </is>
      </c>
      <c r="B132" s="1" t="n">
        <v>45826</v>
      </c>
      <c r="C132" s="1" t="n">
        <v>46205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8962-2022</t>
        </is>
      </c>
      <c r="B133" s="1" t="n">
        <v>44614</v>
      </c>
      <c r="C133" s="1" t="n">
        <v>46205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41089-2025</t>
        </is>
      </c>
      <c r="B134" s="1" t="n">
        <v>45898</v>
      </c>
      <c r="C134" s="1" t="n">
        <v>46205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41076-2025</t>
        </is>
      </c>
      <c r="B135" s="1" t="n">
        <v>45898</v>
      </c>
      <c r="C135" s="1" t="n">
        <v>46205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8970-2024</t>
        </is>
      </c>
      <c r="B136" s="1" t="n">
        <v>45357</v>
      </c>
      <c r="C136" s="1" t="n">
        <v>46205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41082-2025</t>
        </is>
      </c>
      <c r="B137" s="1" t="n">
        <v>45898</v>
      </c>
      <c r="C137" s="1" t="n">
        <v>46205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1949-2026</t>
        </is>
      </c>
      <c r="B138" s="1" t="n">
        <v>46035</v>
      </c>
      <c r="C138" s="1" t="n">
        <v>46205</v>
      </c>
      <c r="D138" t="inlineStr">
        <is>
          <t>VÄSTRA GÖTALANDS LÄN</t>
        </is>
      </c>
      <c r="E138" t="inlineStr">
        <is>
          <t>SVENLJUNGA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8445-2024</t>
        </is>
      </c>
      <c r="B139" s="1" t="n">
        <v>45354</v>
      </c>
      <c r="C139" s="1" t="n">
        <v>46205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5988-2023</t>
        </is>
      </c>
      <c r="B140" s="1" t="n">
        <v>44964</v>
      </c>
      <c r="C140" s="1" t="n">
        <v>46205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29619-2025</t>
        </is>
      </c>
      <c r="B141" s="1" t="n">
        <v>45825</v>
      </c>
      <c r="C141" s="1" t="n">
        <v>46205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42109-2025</t>
        </is>
      </c>
      <c r="B142" s="1" t="n">
        <v>45904</v>
      </c>
      <c r="C142" s="1" t="n">
        <v>46205</v>
      </c>
      <c r="D142" t="inlineStr">
        <is>
          <t>VÄSTRA GÖTALANDS LÄN</t>
        </is>
      </c>
      <c r="E142" t="inlineStr">
        <is>
          <t>SVENLJUNGA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33136-2024</t>
        </is>
      </c>
      <c r="B143" s="1" t="n">
        <v>45518</v>
      </c>
      <c r="C143" s="1" t="n">
        <v>46205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13935-2025</t>
        </is>
      </c>
      <c r="B144" s="1" t="n">
        <v>45737</v>
      </c>
      <c r="C144" s="1" t="n">
        <v>46205</v>
      </c>
      <c r="D144" t="inlineStr">
        <is>
          <t>VÄSTRA GÖTALANDS LÄN</t>
        </is>
      </c>
      <c r="E144" t="inlineStr">
        <is>
          <t>SVENLJUNGA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13547-2025</t>
        </is>
      </c>
      <c r="B145" s="1" t="n">
        <v>45736</v>
      </c>
      <c r="C145" s="1" t="n">
        <v>46205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11359-2025</t>
        </is>
      </c>
      <c r="B146" s="1" t="n">
        <v>45726</v>
      </c>
      <c r="C146" s="1" t="n">
        <v>46205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11368-2025</t>
        </is>
      </c>
      <c r="B147" s="1" t="n">
        <v>45726</v>
      </c>
      <c r="C147" s="1" t="n">
        <v>46205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13933-2025</t>
        </is>
      </c>
      <c r="B148" s="1" t="n">
        <v>45737</v>
      </c>
      <c r="C148" s="1" t="n">
        <v>46205</v>
      </c>
      <c r="D148" t="inlineStr">
        <is>
          <t>VÄSTRA GÖTALANDS LÄN</t>
        </is>
      </c>
      <c r="E148" t="inlineStr">
        <is>
          <t>SVENLJUNGA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11351-2025</t>
        </is>
      </c>
      <c r="B149" s="1" t="n">
        <v>45726</v>
      </c>
      <c r="C149" s="1" t="n">
        <v>46205</v>
      </c>
      <c r="D149" t="inlineStr">
        <is>
          <t>VÄSTRA GÖTALANDS LÄN</t>
        </is>
      </c>
      <c r="E149" t="inlineStr">
        <is>
          <t>SVENLJUNGA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30228-2025</t>
        </is>
      </c>
      <c r="B150" s="1" t="n">
        <v>45827</v>
      </c>
      <c r="C150" s="1" t="n">
        <v>46205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13948-2025</t>
        </is>
      </c>
      <c r="B151" s="1" t="n">
        <v>45737</v>
      </c>
      <c r="C151" s="1" t="n">
        <v>46205</v>
      </c>
      <c r="D151" t="inlineStr">
        <is>
          <t>VÄSTRA GÖTALANDS LÄN</t>
        </is>
      </c>
      <c r="E151" t="inlineStr">
        <is>
          <t>SVENLJUNGA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31008-2025</t>
        </is>
      </c>
      <c r="B152" s="1" t="n">
        <v>45832</v>
      </c>
      <c r="C152" s="1" t="n">
        <v>46205</v>
      </c>
      <c r="D152" t="inlineStr">
        <is>
          <t>VÄSTRA GÖTALANDS LÄN</t>
        </is>
      </c>
      <c r="E152" t="inlineStr">
        <is>
          <t>SVENLJUNGA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31099-2025</t>
        </is>
      </c>
      <c r="B153" s="1" t="n">
        <v>45832</v>
      </c>
      <c r="C153" s="1" t="n">
        <v>46205</v>
      </c>
      <c r="D153" t="inlineStr">
        <is>
          <t>VÄSTRA GÖTALANDS LÄN</t>
        </is>
      </c>
      <c r="E153" t="inlineStr">
        <is>
          <t>SVENLJUNGA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32748-2024</t>
        </is>
      </c>
      <c r="B154" s="1" t="n">
        <v>45516</v>
      </c>
      <c r="C154" s="1" t="n">
        <v>46205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31807-2025</t>
        </is>
      </c>
      <c r="B155" s="1" t="n">
        <v>45834</v>
      </c>
      <c r="C155" s="1" t="n">
        <v>46205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37906-2024</t>
        </is>
      </c>
      <c r="B156" s="1" t="n">
        <v>45544</v>
      </c>
      <c r="C156" s="1" t="n">
        <v>46205</v>
      </c>
      <c r="D156" t="inlineStr">
        <is>
          <t>VÄSTRA GÖTALANDS LÄN</t>
        </is>
      </c>
      <c r="E156" t="inlineStr">
        <is>
          <t>SVENLJUNGA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37908-2024</t>
        </is>
      </c>
      <c r="B157" s="1" t="n">
        <v>45544</v>
      </c>
      <c r="C157" s="1" t="n">
        <v>46205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37909-2024</t>
        </is>
      </c>
      <c r="B158" s="1" t="n">
        <v>45544</v>
      </c>
      <c r="C158" s="1" t="n">
        <v>46205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32386-2023</t>
        </is>
      </c>
      <c r="B159" s="1" t="n">
        <v>45120</v>
      </c>
      <c r="C159" s="1" t="n">
        <v>46205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31737-2025</t>
        </is>
      </c>
      <c r="B160" s="1" t="n">
        <v>45834</v>
      </c>
      <c r="C160" s="1" t="n">
        <v>46205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31741-2025</t>
        </is>
      </c>
      <c r="B161" s="1" t="n">
        <v>45834</v>
      </c>
      <c r="C161" s="1" t="n">
        <v>46205</v>
      </c>
      <c r="D161" t="inlineStr">
        <is>
          <t>VÄSTRA GÖTALANDS LÄN</t>
        </is>
      </c>
      <c r="E161" t="inlineStr">
        <is>
          <t>SVENLJUNGA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43541-2025</t>
        </is>
      </c>
      <c r="B162" s="1" t="n">
        <v>45911</v>
      </c>
      <c r="C162" s="1" t="n">
        <v>46205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31959-2025</t>
        </is>
      </c>
      <c r="B163" s="1" t="n">
        <v>45835</v>
      </c>
      <c r="C163" s="1" t="n">
        <v>46205</v>
      </c>
      <c r="D163" t="inlineStr">
        <is>
          <t>VÄSTRA GÖTALANDS LÄN</t>
        </is>
      </c>
      <c r="E163" t="inlineStr">
        <is>
          <t>SVENLJUNGA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43642-2025</t>
        </is>
      </c>
      <c r="B164" s="1" t="n">
        <v>45911</v>
      </c>
      <c r="C164" s="1" t="n">
        <v>46205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43537-2025</t>
        </is>
      </c>
      <c r="B165" s="1" t="n">
        <v>45911</v>
      </c>
      <c r="C165" s="1" t="n">
        <v>46205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43543-2025</t>
        </is>
      </c>
      <c r="B166" s="1" t="n">
        <v>45911</v>
      </c>
      <c r="C166" s="1" t="n">
        <v>46205</v>
      </c>
      <c r="D166" t="inlineStr">
        <is>
          <t>VÄSTRA GÖTALANDS LÄN</t>
        </is>
      </c>
      <c r="E166" t="inlineStr">
        <is>
          <t>SVENLJUNGA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43532-2025</t>
        </is>
      </c>
      <c r="B167" s="1" t="n">
        <v>45911</v>
      </c>
      <c r="C167" s="1" t="n">
        <v>46205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19699-2024</t>
        </is>
      </c>
      <c r="B168" s="1" t="n">
        <v>45432</v>
      </c>
      <c r="C168" s="1" t="n">
        <v>46205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10082-2024</t>
        </is>
      </c>
      <c r="B169" s="1" t="n">
        <v>45364</v>
      </c>
      <c r="C169" s="1" t="n">
        <v>46205</v>
      </c>
      <c r="D169" t="inlineStr">
        <is>
          <t>VÄSTRA GÖTALANDS LÄN</t>
        </is>
      </c>
      <c r="E169" t="inlineStr">
        <is>
          <t>SVENLJUNGA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33061-2025</t>
        </is>
      </c>
      <c r="B170" s="1" t="n">
        <v>45840</v>
      </c>
      <c r="C170" s="1" t="n">
        <v>46205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3647-2023</t>
        </is>
      </c>
      <c r="B171" s="1" t="n">
        <v>44950</v>
      </c>
      <c r="C171" s="1" t="n">
        <v>46205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2220-2023</t>
        </is>
      </c>
      <c r="B172" s="1" t="n">
        <v>44942</v>
      </c>
      <c r="C172" s="1" t="n">
        <v>46205</v>
      </c>
      <c r="D172" t="inlineStr">
        <is>
          <t>VÄSTRA GÖTALANDS LÄN</t>
        </is>
      </c>
      <c r="E172" t="inlineStr">
        <is>
          <t>SVENLJUNGA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45395-2023</t>
        </is>
      </c>
      <c r="B173" s="1" t="n">
        <v>45194</v>
      </c>
      <c r="C173" s="1" t="n">
        <v>46205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45400-2023</t>
        </is>
      </c>
      <c r="B174" s="1" t="n">
        <v>45194</v>
      </c>
      <c r="C174" s="1" t="n">
        <v>46205</v>
      </c>
      <c r="D174" t="inlineStr">
        <is>
          <t>VÄSTRA GÖTALANDS LÄN</t>
        </is>
      </c>
      <c r="E174" t="inlineStr">
        <is>
          <t>SVENLJUNGA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44878-2025</t>
        </is>
      </c>
      <c r="B175" s="1" t="n">
        <v>45918</v>
      </c>
      <c r="C175" s="1" t="n">
        <v>46205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45005-2025</t>
        </is>
      </c>
      <c r="B176" s="1" t="n">
        <v>45918</v>
      </c>
      <c r="C176" s="1" t="n">
        <v>46205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44991-2025</t>
        </is>
      </c>
      <c r="B177" s="1" t="n">
        <v>45918</v>
      </c>
      <c r="C177" s="1" t="n">
        <v>46205</v>
      </c>
      <c r="D177" t="inlineStr">
        <is>
          <t>VÄSTRA GÖTALANDS LÄN</t>
        </is>
      </c>
      <c r="E177" t="inlineStr">
        <is>
          <t>SVENLJUNGA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4944-2025</t>
        </is>
      </c>
      <c r="B178" s="1" t="n">
        <v>45688</v>
      </c>
      <c r="C178" s="1" t="n">
        <v>46205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22251-2025</t>
        </is>
      </c>
      <c r="B179" s="1" t="n">
        <v>45785</v>
      </c>
      <c r="C179" s="1" t="n">
        <v>46205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34308-2025</t>
        </is>
      </c>
      <c r="B180" s="1" t="n">
        <v>45846</v>
      </c>
      <c r="C180" s="1" t="n">
        <v>46205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37317-2021</t>
        </is>
      </c>
      <c r="B181" s="1" t="n">
        <v>44397</v>
      </c>
      <c r="C181" s="1" t="n">
        <v>46205</v>
      </c>
      <c r="D181" t="inlineStr">
        <is>
          <t>VÄSTRA GÖTALANDS LÄN</t>
        </is>
      </c>
      <c r="E181" t="inlineStr">
        <is>
          <t>SVENLJUNGA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38678-2024</t>
        </is>
      </c>
      <c r="B182" s="1" t="n">
        <v>45547</v>
      </c>
      <c r="C182" s="1" t="n">
        <v>46205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38681-2024</t>
        </is>
      </c>
      <c r="B183" s="1" t="n">
        <v>45547</v>
      </c>
      <c r="C183" s="1" t="n">
        <v>46205</v>
      </c>
      <c r="D183" t="inlineStr">
        <is>
          <t>VÄSTRA GÖTALANDS LÄN</t>
        </is>
      </c>
      <c r="E183" t="inlineStr">
        <is>
          <t>SVENLJUNGA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47817-2024</t>
        </is>
      </c>
      <c r="B184" s="1" t="n">
        <v>45588</v>
      </c>
      <c r="C184" s="1" t="n">
        <v>46205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35320-2025</t>
        </is>
      </c>
      <c r="B185" s="1" t="n">
        <v>45854</v>
      </c>
      <c r="C185" s="1" t="n">
        <v>46205</v>
      </c>
      <c r="D185" t="inlineStr">
        <is>
          <t>VÄSTRA GÖTALANDS LÄN</t>
        </is>
      </c>
      <c r="E185" t="inlineStr">
        <is>
          <t>SVENLJUNGA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53763-2024</t>
        </is>
      </c>
      <c r="B186" s="1" t="n">
        <v>45615</v>
      </c>
      <c r="C186" s="1" t="n">
        <v>46205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15697-2023</t>
        </is>
      </c>
      <c r="B187" s="1" t="n">
        <v>45021</v>
      </c>
      <c r="C187" s="1" t="n">
        <v>46205</v>
      </c>
      <c r="D187" t="inlineStr">
        <is>
          <t>VÄSTRA GÖTALANDS LÄN</t>
        </is>
      </c>
      <c r="E187" t="inlineStr">
        <is>
          <t>SVENLJUNGA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13620-2024</t>
        </is>
      </c>
      <c r="B188" s="1" t="n">
        <v>45390</v>
      </c>
      <c r="C188" s="1" t="n">
        <v>46205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23343-2024</t>
        </is>
      </c>
      <c r="B189" s="1" t="n">
        <v>45453</v>
      </c>
      <c r="C189" s="1" t="n">
        <v>46205</v>
      </c>
      <c r="D189" t="inlineStr">
        <is>
          <t>VÄSTRA GÖTALANDS LÄN</t>
        </is>
      </c>
      <c r="E189" t="inlineStr">
        <is>
          <t>SVENLJUNGA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37942-2023</t>
        </is>
      </c>
      <c r="B190" s="1" t="n">
        <v>45160</v>
      </c>
      <c r="C190" s="1" t="n">
        <v>46205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36405-2025</t>
        </is>
      </c>
      <c r="B191" s="1" t="n">
        <v>45868</v>
      </c>
      <c r="C191" s="1" t="n">
        <v>46205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36243-2025</t>
        </is>
      </c>
      <c r="B192" s="1" t="n">
        <v>45867</v>
      </c>
      <c r="C192" s="1" t="n">
        <v>46205</v>
      </c>
      <c r="D192" t="inlineStr">
        <is>
          <t>VÄSTRA GÖTALANDS LÄN</t>
        </is>
      </c>
      <c r="E192" t="inlineStr">
        <is>
          <t>SVENLJUNGA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53767-2024</t>
        </is>
      </c>
      <c r="B193" s="1" t="n">
        <v>45615</v>
      </c>
      <c r="C193" s="1" t="n">
        <v>46205</v>
      </c>
      <c r="D193" t="inlineStr">
        <is>
          <t>VÄSTRA GÖTALANDS LÄN</t>
        </is>
      </c>
      <c r="E193" t="inlineStr">
        <is>
          <t>SVENLJUNGA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10516-2023</t>
        </is>
      </c>
      <c r="B194" s="1" t="n">
        <v>44987</v>
      </c>
      <c r="C194" s="1" t="n">
        <v>46205</v>
      </c>
      <c r="D194" t="inlineStr">
        <is>
          <t>VÄSTRA GÖTALANDS LÄN</t>
        </is>
      </c>
      <c r="E194" t="inlineStr">
        <is>
          <t>SVENLJUNGA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29554-2022</t>
        </is>
      </c>
      <c r="B195" s="1" t="n">
        <v>44754</v>
      </c>
      <c r="C195" s="1" t="n">
        <v>46205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25486-2025</t>
        </is>
      </c>
      <c r="B196" s="1" t="n">
        <v>45803</v>
      </c>
      <c r="C196" s="1" t="n">
        <v>46205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49304-2025</t>
        </is>
      </c>
      <c r="B197" s="1" t="n">
        <v>45938</v>
      </c>
      <c r="C197" s="1" t="n">
        <v>46205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49301-2025</t>
        </is>
      </c>
      <c r="B198" s="1" t="n">
        <v>45938</v>
      </c>
      <c r="C198" s="1" t="n">
        <v>46205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13936-2025</t>
        </is>
      </c>
      <c r="B199" s="1" t="n">
        <v>45737</v>
      </c>
      <c r="C199" s="1" t="n">
        <v>46205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41035-2024</t>
        </is>
      </c>
      <c r="B200" s="1" t="n">
        <v>45559</v>
      </c>
      <c r="C200" s="1" t="n">
        <v>46205</v>
      </c>
      <c r="D200" t="inlineStr">
        <is>
          <t>VÄSTRA GÖTALANDS LÄN</t>
        </is>
      </c>
      <c r="E200" t="inlineStr">
        <is>
          <t>SVENLJUNGA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37410-2025</t>
        </is>
      </c>
      <c r="B201" s="1" t="n">
        <v>45877</v>
      </c>
      <c r="C201" s="1" t="n">
        <v>46205</v>
      </c>
      <c r="D201" t="inlineStr">
        <is>
          <t>VÄSTRA GÖTALANDS LÄN</t>
        </is>
      </c>
      <c r="E201" t="inlineStr">
        <is>
          <t>SVENLJUNGA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58618-2023</t>
        </is>
      </c>
      <c r="B202" s="1" t="n">
        <v>45251</v>
      </c>
      <c r="C202" s="1" t="n">
        <v>46205</v>
      </c>
      <c r="D202" t="inlineStr">
        <is>
          <t>VÄSTRA GÖTALANDS LÄN</t>
        </is>
      </c>
      <c r="E202" t="inlineStr">
        <is>
          <t>SVENLJUNGA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13003-2025</t>
        </is>
      </c>
      <c r="B203" s="1" t="n">
        <v>45734</v>
      </c>
      <c r="C203" s="1" t="n">
        <v>46205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8704-2022</t>
        </is>
      </c>
      <c r="B204" s="1" t="n">
        <v>44613</v>
      </c>
      <c r="C204" s="1" t="n">
        <v>46205</v>
      </c>
      <c r="D204" t="inlineStr">
        <is>
          <t>VÄSTRA GÖTALANDS LÄN</t>
        </is>
      </c>
      <c r="E204" t="inlineStr">
        <is>
          <t>SVENLJUNGA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22191-2023</t>
        </is>
      </c>
      <c r="B205" s="1" t="n">
        <v>45069</v>
      </c>
      <c r="C205" s="1" t="n">
        <v>46205</v>
      </c>
      <c r="D205" t="inlineStr">
        <is>
          <t>VÄSTRA GÖTALANDS LÄN</t>
        </is>
      </c>
      <c r="E205" t="inlineStr">
        <is>
          <t>SVENLJUNGA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27888-2023</t>
        </is>
      </c>
      <c r="B206" s="1" t="n">
        <v>45098</v>
      </c>
      <c r="C206" s="1" t="n">
        <v>46205</v>
      </c>
      <c r="D206" t="inlineStr">
        <is>
          <t>VÄSTRA GÖTALANDS LÄN</t>
        </is>
      </c>
      <c r="E206" t="inlineStr">
        <is>
          <t>SVENLJUNGA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57241-2024</t>
        </is>
      </c>
      <c r="B207" s="1" t="n">
        <v>45629</v>
      </c>
      <c r="C207" s="1" t="n">
        <v>46205</v>
      </c>
      <c r="D207" t="inlineStr">
        <is>
          <t>VÄSTRA GÖTALANDS LÄN</t>
        </is>
      </c>
      <c r="E207" t="inlineStr">
        <is>
          <t>SVENLJUNGA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9469-2023</t>
        </is>
      </c>
      <c r="B208" s="1" t="n">
        <v>44981</v>
      </c>
      <c r="C208" s="1" t="n">
        <v>46205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38645-2025</t>
        </is>
      </c>
      <c r="B209" s="1" t="n">
        <v>45884</v>
      </c>
      <c r="C209" s="1" t="n">
        <v>46205</v>
      </c>
      <c r="D209" t="inlineStr">
        <is>
          <t>VÄSTRA GÖTALANDS LÄN</t>
        </is>
      </c>
      <c r="E209" t="inlineStr">
        <is>
          <t>SVENLJUNGA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51843-2025</t>
        </is>
      </c>
      <c r="B210" s="1" t="n">
        <v>45952</v>
      </c>
      <c r="C210" s="1" t="n">
        <v>46205</v>
      </c>
      <c r="D210" t="inlineStr">
        <is>
          <t>VÄSTRA GÖTALANDS LÄN</t>
        </is>
      </c>
      <c r="E210" t="inlineStr">
        <is>
          <t>SVENLJUNGA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52372-2025</t>
        </is>
      </c>
      <c r="B211" s="1" t="n">
        <v>45953</v>
      </c>
      <c r="C211" s="1" t="n">
        <v>46205</v>
      </c>
      <c r="D211" t="inlineStr">
        <is>
          <t>VÄSTRA GÖTALANDS LÄN</t>
        </is>
      </c>
      <c r="E211" t="inlineStr">
        <is>
          <t>SVENLJUNGA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52375-2024</t>
        </is>
      </c>
      <c r="B212" s="1" t="n">
        <v>45609</v>
      </c>
      <c r="C212" s="1" t="n">
        <v>46205</v>
      </c>
      <c r="D212" t="inlineStr">
        <is>
          <t>VÄSTRA GÖTALANDS LÄN</t>
        </is>
      </c>
      <c r="E212" t="inlineStr">
        <is>
          <t>SVENLJUNGA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52378-2025</t>
        </is>
      </c>
      <c r="B213" s="1" t="n">
        <v>45953</v>
      </c>
      <c r="C213" s="1" t="n">
        <v>46205</v>
      </c>
      <c r="D213" t="inlineStr">
        <is>
          <t>VÄSTRA GÖTALANDS LÄN</t>
        </is>
      </c>
      <c r="E213" t="inlineStr">
        <is>
          <t>SVENLJUNGA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48937-2024</t>
        </is>
      </c>
      <c r="B214" s="1" t="n">
        <v>45594</v>
      </c>
      <c r="C214" s="1" t="n">
        <v>46205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57615-2022</t>
        </is>
      </c>
      <c r="B215" s="1" t="n">
        <v>44897</v>
      </c>
      <c r="C215" s="1" t="n">
        <v>46205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52373-2025</t>
        </is>
      </c>
      <c r="B216" s="1" t="n">
        <v>45953</v>
      </c>
      <c r="C216" s="1" t="n">
        <v>46205</v>
      </c>
      <c r="D216" t="inlineStr">
        <is>
          <t>VÄSTRA GÖTALANDS LÄN</t>
        </is>
      </c>
      <c r="E216" t="inlineStr">
        <is>
          <t>SVENLJUNGA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20975-2023</t>
        </is>
      </c>
      <c r="B217" s="1" t="n">
        <v>45056</v>
      </c>
      <c r="C217" s="1" t="n">
        <v>46205</v>
      </c>
      <c r="D217" t="inlineStr">
        <is>
          <t>VÄSTRA GÖTALANDS LÄN</t>
        </is>
      </c>
      <c r="E217" t="inlineStr">
        <is>
          <t>SVENLJUNGA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59739-2021</t>
        </is>
      </c>
      <c r="B218" s="1" t="n">
        <v>44494</v>
      </c>
      <c r="C218" s="1" t="n">
        <v>46205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53482-2025</t>
        </is>
      </c>
      <c r="B219" s="1" t="n">
        <v>45959</v>
      </c>
      <c r="C219" s="1" t="n">
        <v>46205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39173-2023</t>
        </is>
      </c>
      <c r="B220" s="1" t="n">
        <v>45166</v>
      </c>
      <c r="C220" s="1" t="n">
        <v>46205</v>
      </c>
      <c r="D220" t="inlineStr">
        <is>
          <t>VÄSTRA GÖTALANDS LÄN</t>
        </is>
      </c>
      <c r="E220" t="inlineStr">
        <is>
          <t>SVENLJUNGA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54199-2025</t>
        </is>
      </c>
      <c r="B221" s="1" t="n">
        <v>45964</v>
      </c>
      <c r="C221" s="1" t="n">
        <v>46205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54200-2025</t>
        </is>
      </c>
      <c r="B222" s="1" t="n">
        <v>45964</v>
      </c>
      <c r="C222" s="1" t="n">
        <v>46205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7289-2023</t>
        </is>
      </c>
      <c r="B223" s="1" t="n">
        <v>44970</v>
      </c>
      <c r="C223" s="1" t="n">
        <v>46205</v>
      </c>
      <c r="D223" t="inlineStr">
        <is>
          <t>VÄSTRA GÖTALANDS LÄN</t>
        </is>
      </c>
      <c r="E223" t="inlineStr">
        <is>
          <t>SVENLJUNGA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9299-2024</t>
        </is>
      </c>
      <c r="B224" s="1" t="n">
        <v>45358</v>
      </c>
      <c r="C224" s="1" t="n">
        <v>46205</v>
      </c>
      <c r="D224" t="inlineStr">
        <is>
          <t>VÄSTRA GÖTALANDS LÄN</t>
        </is>
      </c>
      <c r="E224" t="inlineStr">
        <is>
          <t>SVENLJUNGA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8304-2023</t>
        </is>
      </c>
      <c r="B225" s="1" t="n">
        <v>44974</v>
      </c>
      <c r="C225" s="1" t="n">
        <v>46205</v>
      </c>
      <c r="D225" t="inlineStr">
        <is>
          <t>VÄSTRA GÖTALANDS LÄN</t>
        </is>
      </c>
      <c r="E225" t="inlineStr">
        <is>
          <t>SVENLJUNGA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55144-2025</t>
        </is>
      </c>
      <c r="B226" s="1" t="n">
        <v>45968</v>
      </c>
      <c r="C226" s="1" t="n">
        <v>46205</v>
      </c>
      <c r="D226" t="inlineStr">
        <is>
          <t>VÄSTRA GÖTALANDS LÄN</t>
        </is>
      </c>
      <c r="E226" t="inlineStr">
        <is>
          <t>SVENLJUNGA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42611-2024</t>
        </is>
      </c>
      <c r="B227" s="1" t="n">
        <v>45565</v>
      </c>
      <c r="C227" s="1" t="n">
        <v>46205</v>
      </c>
      <c r="D227" t="inlineStr">
        <is>
          <t>VÄSTRA GÖTALANDS LÄN</t>
        </is>
      </c>
      <c r="E227" t="inlineStr">
        <is>
          <t>SVENLJUNGA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57600-2024</t>
        </is>
      </c>
      <c r="B228" s="1" t="n">
        <v>45630</v>
      </c>
      <c r="C228" s="1" t="n">
        <v>46205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28266-2023</t>
        </is>
      </c>
      <c r="B229" s="1" t="n">
        <v>45099</v>
      </c>
      <c r="C229" s="1" t="n">
        <v>46205</v>
      </c>
      <c r="D229" t="inlineStr">
        <is>
          <t>VÄSTRA GÖTALANDS LÄN</t>
        </is>
      </c>
      <c r="E229" t="inlineStr">
        <is>
          <t>SVENLJUNGA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12589-2023</t>
        </is>
      </c>
      <c r="B230" s="1" t="n">
        <v>45000</v>
      </c>
      <c r="C230" s="1" t="n">
        <v>46205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61275-2024</t>
        </is>
      </c>
      <c r="B231" s="1" t="n">
        <v>45645</v>
      </c>
      <c r="C231" s="1" t="n">
        <v>46205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36106-2023</t>
        </is>
      </c>
      <c r="B232" s="1" t="n">
        <v>45149</v>
      </c>
      <c r="C232" s="1" t="n">
        <v>46205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13540-2025</t>
        </is>
      </c>
      <c r="B233" s="1" t="n">
        <v>45736</v>
      </c>
      <c r="C233" s="1" t="n">
        <v>46205</v>
      </c>
      <c r="D233" t="inlineStr">
        <is>
          <t>VÄSTRA GÖTALANDS LÄN</t>
        </is>
      </c>
      <c r="E233" t="inlineStr">
        <is>
          <t>SVENLJUNGA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57555-2025</t>
        </is>
      </c>
      <c r="B234" s="1" t="n">
        <v>45980</v>
      </c>
      <c r="C234" s="1" t="n">
        <v>46205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33119-2022</t>
        </is>
      </c>
      <c r="B235" s="1" t="n">
        <v>44785</v>
      </c>
      <c r="C235" s="1" t="n">
        <v>46205</v>
      </c>
      <c r="D235" t="inlineStr">
        <is>
          <t>VÄSTRA GÖTALANDS LÄN</t>
        </is>
      </c>
      <c r="E235" t="inlineStr">
        <is>
          <t>SVENLJUNGA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7288-2023</t>
        </is>
      </c>
      <c r="B236" s="1" t="n">
        <v>44970</v>
      </c>
      <c r="C236" s="1" t="n">
        <v>46205</v>
      </c>
      <c r="D236" t="inlineStr">
        <is>
          <t>VÄSTRA GÖTALANDS LÄN</t>
        </is>
      </c>
      <c r="E236" t="inlineStr">
        <is>
          <t>SVENLJUNGA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6618-2026</t>
        </is>
      </c>
      <c r="B237" s="1" t="n">
        <v>46056</v>
      </c>
      <c r="C237" s="1" t="n">
        <v>46205</v>
      </c>
      <c r="D237" t="inlineStr">
        <is>
          <t>VÄSTRA GÖTALANDS LÄN</t>
        </is>
      </c>
      <c r="E237" t="inlineStr">
        <is>
          <t>SVENLJUNGA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33762-2023</t>
        </is>
      </c>
      <c r="B238" s="1" t="n">
        <v>45120</v>
      </c>
      <c r="C238" s="1" t="n">
        <v>46205</v>
      </c>
      <c r="D238" t="inlineStr">
        <is>
          <t>VÄSTRA GÖTALANDS LÄN</t>
        </is>
      </c>
      <c r="E238" t="inlineStr">
        <is>
          <t>SVENLJUNGA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57169-2025</t>
        </is>
      </c>
      <c r="B239" s="1" t="n">
        <v>45979</v>
      </c>
      <c r="C239" s="1" t="n">
        <v>46205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58033-2025</t>
        </is>
      </c>
      <c r="B240" s="1" t="n">
        <v>45982</v>
      </c>
      <c r="C240" s="1" t="n">
        <v>46205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36493-2022</t>
        </is>
      </c>
      <c r="B241" s="1" t="n">
        <v>44804</v>
      </c>
      <c r="C241" s="1" t="n">
        <v>46205</v>
      </c>
      <c r="D241" t="inlineStr">
        <is>
          <t>VÄSTRA GÖTALANDS LÄN</t>
        </is>
      </c>
      <c r="E241" t="inlineStr">
        <is>
          <t>SVENLJUNGA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42722-2022</t>
        </is>
      </c>
      <c r="B242" s="1" t="n">
        <v>44832</v>
      </c>
      <c r="C242" s="1" t="n">
        <v>46205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58290-2025</t>
        </is>
      </c>
      <c r="B243" s="1" t="n">
        <v>45985</v>
      </c>
      <c r="C243" s="1" t="n">
        <v>46205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57227-2022</t>
        </is>
      </c>
      <c r="B244" s="1" t="n">
        <v>44895</v>
      </c>
      <c r="C244" s="1" t="n">
        <v>46205</v>
      </c>
      <c r="D244" t="inlineStr">
        <is>
          <t>VÄSTRA GÖTALANDS LÄN</t>
        </is>
      </c>
      <c r="E244" t="inlineStr">
        <is>
          <t>SVENLJUNGA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14691-2025</t>
        </is>
      </c>
      <c r="B245" s="1" t="n">
        <v>45742</v>
      </c>
      <c r="C245" s="1" t="n">
        <v>46205</v>
      </c>
      <c r="D245" t="inlineStr">
        <is>
          <t>VÄSTRA GÖTALANDS LÄN</t>
        </is>
      </c>
      <c r="E245" t="inlineStr">
        <is>
          <t>SVENLJUNGA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52234-2023</t>
        </is>
      </c>
      <c r="B246" s="1" t="n">
        <v>45224</v>
      </c>
      <c r="C246" s="1" t="n">
        <v>46205</v>
      </c>
      <c r="D246" t="inlineStr">
        <is>
          <t>VÄSTRA GÖTALANDS LÄN</t>
        </is>
      </c>
      <c r="E246" t="inlineStr">
        <is>
          <t>SVENLJUNGA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41799-2023</t>
        </is>
      </c>
      <c r="B247" s="1" t="n">
        <v>45176</v>
      </c>
      <c r="C247" s="1" t="n">
        <v>46205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60033-2025</t>
        </is>
      </c>
      <c r="B248" s="1" t="n">
        <v>45993</v>
      </c>
      <c r="C248" s="1" t="n">
        <v>46205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8142-2026</t>
        </is>
      </c>
      <c r="B249" s="1" t="n">
        <v>46064</v>
      </c>
      <c r="C249" s="1" t="n">
        <v>46205</v>
      </c>
      <c r="D249" t="inlineStr">
        <is>
          <t>VÄSTRA GÖTALANDS LÄN</t>
        </is>
      </c>
      <c r="E249" t="inlineStr">
        <is>
          <t>SVENLJUNGA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51840-2025</t>
        </is>
      </c>
      <c r="B250" s="1" t="n">
        <v>45952</v>
      </c>
      <c r="C250" s="1" t="n">
        <v>46205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60472-2025</t>
        </is>
      </c>
      <c r="B251" s="1" t="n">
        <v>45995</v>
      </c>
      <c r="C251" s="1" t="n">
        <v>46205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2979-2025</t>
        </is>
      </c>
      <c r="B252" s="1" t="n">
        <v>45678</v>
      </c>
      <c r="C252" s="1" t="n">
        <v>46205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56093-2023</t>
        </is>
      </c>
      <c r="B253" s="1" t="n">
        <v>45236</v>
      </c>
      <c r="C253" s="1" t="n">
        <v>46205</v>
      </c>
      <c r="D253" t="inlineStr">
        <is>
          <t>VÄSTRA GÖTALANDS LÄN</t>
        </is>
      </c>
      <c r="E253" t="inlineStr">
        <is>
          <t>SVENLJUNGA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56098-2023</t>
        </is>
      </c>
      <c r="B254" s="1" t="n">
        <v>45236</v>
      </c>
      <c r="C254" s="1" t="n">
        <v>46205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12477-2025</t>
        </is>
      </c>
      <c r="B255" s="1" t="n">
        <v>45730</v>
      </c>
      <c r="C255" s="1" t="n">
        <v>46205</v>
      </c>
      <c r="D255" t="inlineStr">
        <is>
          <t>VÄSTRA GÖTALANDS LÄN</t>
        </is>
      </c>
      <c r="E255" t="inlineStr">
        <is>
          <t>SVENLJUNGA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9735-2026</t>
        </is>
      </c>
      <c r="B256" s="1" t="n">
        <v>46072</v>
      </c>
      <c r="C256" s="1" t="n">
        <v>46205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61340-2025</t>
        </is>
      </c>
      <c r="B257" s="1" t="n">
        <v>46001</v>
      </c>
      <c r="C257" s="1" t="n">
        <v>46205</v>
      </c>
      <c r="D257" t="inlineStr">
        <is>
          <t>VÄSTRA GÖTALANDS LÄN</t>
        </is>
      </c>
      <c r="E257" t="inlineStr">
        <is>
          <t>SVENLJUNGA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61569-2025</t>
        </is>
      </c>
      <c r="B258" s="1" t="n">
        <v>46002</v>
      </c>
      <c r="C258" s="1" t="n">
        <v>46205</v>
      </c>
      <c r="D258" t="inlineStr">
        <is>
          <t>VÄSTRA GÖTALANDS LÄN</t>
        </is>
      </c>
      <c r="E258" t="inlineStr">
        <is>
          <t>SVENLJUNGA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61577-2025</t>
        </is>
      </c>
      <c r="B259" s="1" t="n">
        <v>46002</v>
      </c>
      <c r="C259" s="1" t="n">
        <v>46205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61337-2025</t>
        </is>
      </c>
      <c r="B260" s="1" t="n">
        <v>46001</v>
      </c>
      <c r="C260" s="1" t="n">
        <v>46205</v>
      </c>
      <c r="D260" t="inlineStr">
        <is>
          <t>VÄSTRA GÖTALANDS LÄN</t>
        </is>
      </c>
      <c r="E260" t="inlineStr">
        <is>
          <t>SVENLJUNGA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61573-2025</t>
        </is>
      </c>
      <c r="B261" s="1" t="n">
        <v>46002</v>
      </c>
      <c r="C261" s="1" t="n">
        <v>46205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8622-2026</t>
        </is>
      </c>
      <c r="B262" s="1" t="n">
        <v>46066</v>
      </c>
      <c r="C262" s="1" t="n">
        <v>46205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8624-2026</t>
        </is>
      </c>
      <c r="B263" s="1" t="n">
        <v>46066</v>
      </c>
      <c r="C263" s="1" t="n">
        <v>46205</v>
      </c>
      <c r="D263" t="inlineStr">
        <is>
          <t>VÄSTRA GÖTALANDS LÄN</t>
        </is>
      </c>
      <c r="E263" t="inlineStr">
        <is>
          <t>SVENLJUNGA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61341-2025</t>
        </is>
      </c>
      <c r="B264" s="1" t="n">
        <v>46001</v>
      </c>
      <c r="C264" s="1" t="n">
        <v>46205</v>
      </c>
      <c r="D264" t="inlineStr">
        <is>
          <t>VÄSTRA GÖTALANDS LÄN</t>
        </is>
      </c>
      <c r="E264" t="inlineStr">
        <is>
          <t>SVENLJUNGA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62332-2025</t>
        </is>
      </c>
      <c r="B265" s="1" t="n">
        <v>46006</v>
      </c>
      <c r="C265" s="1" t="n">
        <v>46205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8623-2026</t>
        </is>
      </c>
      <c r="B266" s="1" t="n">
        <v>46066</v>
      </c>
      <c r="C266" s="1" t="n">
        <v>46205</v>
      </c>
      <c r="D266" t="inlineStr">
        <is>
          <t>VÄSTRA GÖTALANDS LÄN</t>
        </is>
      </c>
      <c r="E266" t="inlineStr">
        <is>
          <t>SVENLJUNGA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62333-2025</t>
        </is>
      </c>
      <c r="B267" s="1" t="n">
        <v>46006</v>
      </c>
      <c r="C267" s="1" t="n">
        <v>46205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2022-2023</t>
        </is>
      </c>
      <c r="B268" s="1" t="n">
        <v>44937</v>
      </c>
      <c r="C268" s="1" t="n">
        <v>46205</v>
      </c>
      <c r="D268" t="inlineStr">
        <is>
          <t>VÄSTRA GÖTALANDS LÄN</t>
        </is>
      </c>
      <c r="E268" t="inlineStr">
        <is>
          <t>SVENLJUNGA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10359-2026</t>
        </is>
      </c>
      <c r="B269" s="1" t="n">
        <v>46076</v>
      </c>
      <c r="C269" s="1" t="n">
        <v>46205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62331-2025</t>
        </is>
      </c>
      <c r="B270" s="1" t="n">
        <v>46006</v>
      </c>
      <c r="C270" s="1" t="n">
        <v>46205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61094-2022</t>
        </is>
      </c>
      <c r="B271" s="1" t="n">
        <v>44915</v>
      </c>
      <c r="C271" s="1" t="n">
        <v>46205</v>
      </c>
      <c r="D271" t="inlineStr">
        <is>
          <t>VÄSTRA GÖTALANDS LÄN</t>
        </is>
      </c>
      <c r="E271" t="inlineStr">
        <is>
          <t>SVENLJUNGA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42617-2023</t>
        </is>
      </c>
      <c r="B272" s="1" t="n">
        <v>45181</v>
      </c>
      <c r="C272" s="1" t="n">
        <v>46205</v>
      </c>
      <c r="D272" t="inlineStr">
        <is>
          <t>VÄSTRA GÖTALANDS LÄN</t>
        </is>
      </c>
      <c r="E272" t="inlineStr">
        <is>
          <t>SVENLJUNGA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34653-2024</t>
        </is>
      </c>
      <c r="B273" s="1" t="n">
        <v>45526</v>
      </c>
      <c r="C273" s="1" t="n">
        <v>46205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43877-2024</t>
        </is>
      </c>
      <c r="B274" s="1" t="n">
        <v>45572</v>
      </c>
      <c r="C274" s="1" t="n">
        <v>46205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13542-2025</t>
        </is>
      </c>
      <c r="B275" s="1" t="n">
        <v>45736</v>
      </c>
      <c r="C275" s="1" t="n">
        <v>46205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62843-2025</t>
        </is>
      </c>
      <c r="B276" s="1" t="n">
        <v>46008</v>
      </c>
      <c r="C276" s="1" t="n">
        <v>46205</v>
      </c>
      <c r="D276" t="inlineStr">
        <is>
          <t>VÄSTRA GÖTALANDS LÄN</t>
        </is>
      </c>
      <c r="E276" t="inlineStr">
        <is>
          <t>SVENLJUNGA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63052-2025</t>
        </is>
      </c>
      <c r="B277" s="1" t="n">
        <v>46009</v>
      </c>
      <c r="C277" s="1" t="n">
        <v>46205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43430-2021</t>
        </is>
      </c>
      <c r="B278" s="1" t="n">
        <v>44432</v>
      </c>
      <c r="C278" s="1" t="n">
        <v>46205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56626-2023</t>
        </is>
      </c>
      <c r="B279" s="1" t="n">
        <v>45243</v>
      </c>
      <c r="C279" s="1" t="n">
        <v>46205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10903-2026</t>
        </is>
      </c>
      <c r="B280" s="1" t="n">
        <v>46078</v>
      </c>
      <c r="C280" s="1" t="n">
        <v>46205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10983-2026</t>
        </is>
      </c>
      <c r="B281" s="1" t="n">
        <v>46079</v>
      </c>
      <c r="C281" s="1" t="n">
        <v>46205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4655-2025</t>
        </is>
      </c>
      <c r="B282" s="1" t="n">
        <v>45687</v>
      </c>
      <c r="C282" s="1" t="n">
        <v>46205</v>
      </c>
      <c r="D282" t="inlineStr">
        <is>
          <t>VÄSTRA GÖTALANDS LÄN</t>
        </is>
      </c>
      <c r="E282" t="inlineStr">
        <is>
          <t>SVENLJUNGA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6863-2025</t>
        </is>
      </c>
      <c r="B283" s="1" t="n">
        <v>45701</v>
      </c>
      <c r="C283" s="1" t="n">
        <v>46205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45480-2021</t>
        </is>
      </c>
      <c r="B284" s="1" t="n">
        <v>44440</v>
      </c>
      <c r="C284" s="1" t="n">
        <v>46205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5539-2025</t>
        </is>
      </c>
      <c r="B285" s="1" t="n">
        <v>45693</v>
      </c>
      <c r="C285" s="1" t="n">
        <v>46205</v>
      </c>
      <c r="D285" t="inlineStr">
        <is>
          <t>VÄSTRA GÖTALANDS LÄN</t>
        </is>
      </c>
      <c r="E285" t="inlineStr">
        <is>
          <t>SVENLJUNGA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1389-2023</t>
        </is>
      </c>
      <c r="B286" s="1" t="n">
        <v>44930</v>
      </c>
      <c r="C286" s="1" t="n">
        <v>46205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8568-2025</t>
        </is>
      </c>
      <c r="B287" s="1" t="n">
        <v>45709</v>
      </c>
      <c r="C287" s="1" t="n">
        <v>46205</v>
      </c>
      <c r="D287" t="inlineStr">
        <is>
          <t>VÄSTRA GÖTALANDS LÄN</t>
        </is>
      </c>
      <c r="E287" t="inlineStr">
        <is>
          <t>SVENLJUNGA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26311-2023</t>
        </is>
      </c>
      <c r="B288" s="1" t="n">
        <v>45091</v>
      </c>
      <c r="C288" s="1" t="n">
        <v>46205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16383-2023</t>
        </is>
      </c>
      <c r="B289" s="1" t="n">
        <v>45029</v>
      </c>
      <c r="C289" s="1" t="n">
        <v>46205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19319-2023</t>
        </is>
      </c>
      <c r="B290" s="1" t="n">
        <v>45048</v>
      </c>
      <c r="C290" s="1" t="n">
        <v>46205</v>
      </c>
      <c r="D290" t="inlineStr">
        <is>
          <t>VÄSTRA GÖTALANDS LÄN</t>
        </is>
      </c>
      <c r="E290" t="inlineStr">
        <is>
          <t>SVENLJUNGA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15335-2024</t>
        </is>
      </c>
      <c r="B291" s="1" t="n">
        <v>45400</v>
      </c>
      <c r="C291" s="1" t="n">
        <v>46205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15336-2024</t>
        </is>
      </c>
      <c r="B292" s="1" t="n">
        <v>45400</v>
      </c>
      <c r="C292" s="1" t="n">
        <v>46205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15337-2024</t>
        </is>
      </c>
      <c r="B293" s="1" t="n">
        <v>45400</v>
      </c>
      <c r="C293" s="1" t="n">
        <v>46205</v>
      </c>
      <c r="D293" t="inlineStr">
        <is>
          <t>VÄSTRA GÖTALANDS LÄN</t>
        </is>
      </c>
      <c r="E293" t="inlineStr">
        <is>
          <t>SVENLJUNGA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11968-2026</t>
        </is>
      </c>
      <c r="B294" s="1" t="n">
        <v>46085</v>
      </c>
      <c r="C294" s="1" t="n">
        <v>46205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11964-2026</t>
        </is>
      </c>
      <c r="B295" s="1" t="n">
        <v>46085</v>
      </c>
      <c r="C295" s="1" t="n">
        <v>46205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11951-2026</t>
        </is>
      </c>
      <c r="B296" s="1" t="n">
        <v>46085</v>
      </c>
      <c r="C296" s="1" t="n">
        <v>46205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11954-2026</t>
        </is>
      </c>
      <c r="B297" s="1" t="n">
        <v>46085</v>
      </c>
      <c r="C297" s="1" t="n">
        <v>46205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16381-2025</t>
        </is>
      </c>
      <c r="B298" s="1" t="n">
        <v>45751</v>
      </c>
      <c r="C298" s="1" t="n">
        <v>46205</v>
      </c>
      <c r="D298" t="inlineStr">
        <is>
          <t>VÄSTRA GÖTALANDS LÄN</t>
        </is>
      </c>
      <c r="E298" t="inlineStr">
        <is>
          <t>SVENLJUNGA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12432-2026</t>
        </is>
      </c>
      <c r="B299" s="1" t="n">
        <v>46090</v>
      </c>
      <c r="C299" s="1" t="n">
        <v>46205</v>
      </c>
      <c r="D299" t="inlineStr">
        <is>
          <t>VÄSTRA GÖTALANDS LÄN</t>
        </is>
      </c>
      <c r="E299" t="inlineStr">
        <is>
          <t>SVENLJUNGA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11963-2024</t>
        </is>
      </c>
      <c r="B300" s="1" t="n">
        <v>45376</v>
      </c>
      <c r="C300" s="1" t="n">
        <v>46205</v>
      </c>
      <c r="D300" t="inlineStr">
        <is>
          <t>VÄSTRA GÖTALANDS LÄN</t>
        </is>
      </c>
      <c r="E300" t="inlineStr">
        <is>
          <t>SVENLJUNGA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30444-2024</t>
        </is>
      </c>
      <c r="B301" s="1" t="n">
        <v>45491</v>
      </c>
      <c r="C301" s="1" t="n">
        <v>46205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52027-2023</t>
        </is>
      </c>
      <c r="B302" s="1" t="n">
        <v>45223</v>
      </c>
      <c r="C302" s="1" t="n">
        <v>46205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40552-2024</t>
        </is>
      </c>
      <c r="B303" s="1" t="n">
        <v>45555</v>
      </c>
      <c r="C303" s="1" t="n">
        <v>46205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12966-2026</t>
        </is>
      </c>
      <c r="B304" s="1" t="n">
        <v>46092</v>
      </c>
      <c r="C304" s="1" t="n">
        <v>46205</v>
      </c>
      <c r="D304" t="inlineStr">
        <is>
          <t>VÄSTRA GÖTALANDS LÄN</t>
        </is>
      </c>
      <c r="E304" t="inlineStr">
        <is>
          <t>SVENLJUNGA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12633-2023</t>
        </is>
      </c>
      <c r="B305" s="1" t="n">
        <v>45000</v>
      </c>
      <c r="C305" s="1" t="n">
        <v>46205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17130-2023</t>
        </is>
      </c>
      <c r="B306" s="1" t="n">
        <v>45034</v>
      </c>
      <c r="C306" s="1" t="n">
        <v>46205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9416-2023</t>
        </is>
      </c>
      <c r="B307" s="1" t="n">
        <v>44981</v>
      </c>
      <c r="C307" s="1" t="n">
        <v>46205</v>
      </c>
      <c r="D307" t="inlineStr">
        <is>
          <t>VÄSTRA GÖTALANDS LÄN</t>
        </is>
      </c>
      <c r="E307" t="inlineStr">
        <is>
          <t>SVENLJUNGA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42901-2024</t>
        </is>
      </c>
      <c r="B308" s="1" t="n">
        <v>45566</v>
      </c>
      <c r="C308" s="1" t="n">
        <v>46205</v>
      </c>
      <c r="D308" t="inlineStr">
        <is>
          <t>VÄSTRA GÖTALANDS LÄN</t>
        </is>
      </c>
      <c r="E308" t="inlineStr">
        <is>
          <t>SVENLJUNGA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13501-2026</t>
        </is>
      </c>
      <c r="B309" s="1" t="n">
        <v>46094</v>
      </c>
      <c r="C309" s="1" t="n">
        <v>46205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4997-2023</t>
        </is>
      </c>
      <c r="B310" s="1" t="n">
        <v>44958</v>
      </c>
      <c r="C310" s="1" t="n">
        <v>46205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5016-2023</t>
        </is>
      </c>
      <c r="B311" s="1" t="n">
        <v>44958</v>
      </c>
      <c r="C311" s="1" t="n">
        <v>46205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57904-2021</t>
        </is>
      </c>
      <c r="B312" s="1" t="n">
        <v>44486</v>
      </c>
      <c r="C312" s="1" t="n">
        <v>46205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52108-2021</t>
        </is>
      </c>
      <c r="B313" s="1" t="n">
        <v>44463</v>
      </c>
      <c r="C313" s="1" t="n">
        <v>46205</v>
      </c>
      <c r="D313" t="inlineStr">
        <is>
          <t>VÄSTRA GÖTALANDS LÄN</t>
        </is>
      </c>
      <c r="E313" t="inlineStr">
        <is>
          <t>SVENLJUNGA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50794-2023</t>
        </is>
      </c>
      <c r="B314" s="1" t="n">
        <v>45210</v>
      </c>
      <c r="C314" s="1" t="n">
        <v>46205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11140-2024</t>
        </is>
      </c>
      <c r="B315" s="1" t="n">
        <v>45371</v>
      </c>
      <c r="C315" s="1" t="n">
        <v>46205</v>
      </c>
      <c r="D315" t="inlineStr">
        <is>
          <t>VÄSTRA GÖTALANDS LÄN</t>
        </is>
      </c>
      <c r="E315" t="inlineStr">
        <is>
          <t>SVENLJUNGA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3881-2024</t>
        </is>
      </c>
      <c r="B316" s="1" t="n">
        <v>45322</v>
      </c>
      <c r="C316" s="1" t="n">
        <v>46205</v>
      </c>
      <c r="D316" t="inlineStr">
        <is>
          <t>VÄSTRA GÖTALANDS LÄN</t>
        </is>
      </c>
      <c r="E316" t="inlineStr">
        <is>
          <t>SVENLJUNGA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37110-2022</t>
        </is>
      </c>
      <c r="B317" s="1" t="n">
        <v>44806</v>
      </c>
      <c r="C317" s="1" t="n">
        <v>46205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35255-2024</t>
        </is>
      </c>
      <c r="B318" s="1" t="n">
        <v>45530</v>
      </c>
      <c r="C318" s="1" t="n">
        <v>46205</v>
      </c>
      <c r="D318" t="inlineStr">
        <is>
          <t>VÄSTRA GÖTALANDS LÄN</t>
        </is>
      </c>
      <c r="E318" t="inlineStr">
        <is>
          <t>SVENLJUNGA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21259-2023</t>
        </is>
      </c>
      <c r="B319" s="1" t="n">
        <v>45062</v>
      </c>
      <c r="C319" s="1" t="n">
        <v>46205</v>
      </c>
      <c r="D319" t="inlineStr">
        <is>
          <t>VÄSTRA GÖTALANDS LÄN</t>
        </is>
      </c>
      <c r="E319" t="inlineStr">
        <is>
          <t>SVENLJUNGA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66109-2021</t>
        </is>
      </c>
      <c r="B320" s="1" t="n">
        <v>44517</v>
      </c>
      <c r="C320" s="1" t="n">
        <v>46205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13161-2023</t>
        </is>
      </c>
      <c r="B321" s="1" t="n">
        <v>45002</v>
      </c>
      <c r="C321" s="1" t="n">
        <v>46205</v>
      </c>
      <c r="D321" t="inlineStr">
        <is>
          <t>VÄSTRA GÖTALANDS LÄN</t>
        </is>
      </c>
      <c r="E321" t="inlineStr">
        <is>
          <t>SVENLJUNGA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6875-2023</t>
        </is>
      </c>
      <c r="B322" s="1" t="n">
        <v>44964</v>
      </c>
      <c r="C322" s="1" t="n">
        <v>46205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30473-2023</t>
        </is>
      </c>
      <c r="B323" s="1" t="n">
        <v>45111</v>
      </c>
      <c r="C323" s="1" t="n">
        <v>46205</v>
      </c>
      <c r="D323" t="inlineStr">
        <is>
          <t>VÄSTRA GÖTALANDS LÄN</t>
        </is>
      </c>
      <c r="E323" t="inlineStr">
        <is>
          <t>SVENLJUNGA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15424-2026</t>
        </is>
      </c>
      <c r="B324" s="1" t="n">
        <v>46106</v>
      </c>
      <c r="C324" s="1" t="n">
        <v>46205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15623-2026</t>
        </is>
      </c>
      <c r="B325" s="1" t="n">
        <v>46106</v>
      </c>
      <c r="C325" s="1" t="n">
        <v>46205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63556-2023</t>
        </is>
      </c>
      <c r="B326" s="1" t="n">
        <v>45275</v>
      </c>
      <c r="C326" s="1" t="n">
        <v>46205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15418-2026</t>
        </is>
      </c>
      <c r="B327" s="1" t="n">
        <v>46106</v>
      </c>
      <c r="C327" s="1" t="n">
        <v>46205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15482-2023</t>
        </is>
      </c>
      <c r="B328" s="1" t="n">
        <v>45020</v>
      </c>
      <c r="C328" s="1" t="n">
        <v>46205</v>
      </c>
      <c r="D328" t="inlineStr">
        <is>
          <t>VÄSTRA GÖTALANDS LÄN</t>
        </is>
      </c>
      <c r="E328" t="inlineStr">
        <is>
          <t>SVENLJUNGA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36871-2024</t>
        </is>
      </c>
      <c r="B329" s="1" t="n">
        <v>45538</v>
      </c>
      <c r="C329" s="1" t="n">
        <v>46205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16280-2026</t>
        </is>
      </c>
      <c r="B330" s="1" t="n">
        <v>46111</v>
      </c>
      <c r="C330" s="1" t="n">
        <v>46205</v>
      </c>
      <c r="D330" t="inlineStr">
        <is>
          <t>VÄSTRA GÖTALANDS LÄN</t>
        </is>
      </c>
      <c r="E330" t="inlineStr">
        <is>
          <t>SVENLJUNGA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37859-2024</t>
        </is>
      </c>
      <c r="B331" s="1" t="n">
        <v>45544</v>
      </c>
      <c r="C331" s="1" t="n">
        <v>46205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2441-2022</t>
        </is>
      </c>
      <c r="B332" s="1" t="n">
        <v>44579</v>
      </c>
      <c r="C332" s="1" t="n">
        <v>46205</v>
      </c>
      <c r="D332" t="inlineStr">
        <is>
          <t>VÄSTRA GÖTALANDS LÄN</t>
        </is>
      </c>
      <c r="E332" t="inlineStr">
        <is>
          <t>SVENLJUNGA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29692-2023</t>
        </is>
      </c>
      <c r="B333" s="1" t="n">
        <v>45107</v>
      </c>
      <c r="C333" s="1" t="n">
        <v>46205</v>
      </c>
      <c r="D333" t="inlineStr">
        <is>
          <t>VÄSTRA GÖTALANDS LÄN</t>
        </is>
      </c>
      <c r="E333" t="inlineStr">
        <is>
          <t>SVENLJUNGA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39707-2023</t>
        </is>
      </c>
      <c r="B334" s="1" t="n">
        <v>45167</v>
      </c>
      <c r="C334" s="1" t="n">
        <v>46205</v>
      </c>
      <c r="D334" t="inlineStr">
        <is>
          <t>VÄSTRA GÖTALANDS LÄN</t>
        </is>
      </c>
      <c r="E334" t="inlineStr">
        <is>
          <t>SVENLJUNGA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10517-2023</t>
        </is>
      </c>
      <c r="B335" s="1" t="n">
        <v>44987</v>
      </c>
      <c r="C335" s="1" t="n">
        <v>46205</v>
      </c>
      <c r="D335" t="inlineStr">
        <is>
          <t>VÄSTRA GÖTALANDS LÄN</t>
        </is>
      </c>
      <c r="E335" t="inlineStr">
        <is>
          <t>SVENLJUNGA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17450-2026</t>
        </is>
      </c>
      <c r="B336" s="1" t="n">
        <v>46120</v>
      </c>
      <c r="C336" s="1" t="n">
        <v>46205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23545-2026</t>
        </is>
      </c>
      <c r="B337" s="1" t="n">
        <v>46163</v>
      </c>
      <c r="C337" s="1" t="n">
        <v>46205</v>
      </c>
      <c r="D337" t="inlineStr">
        <is>
          <t>VÄSTRA GÖTALANDS LÄN</t>
        </is>
      </c>
      <c r="E337" t="inlineStr">
        <is>
          <t>SVENLJUNGA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16344-2024</t>
        </is>
      </c>
      <c r="B338" s="1" t="n">
        <v>45407</v>
      </c>
      <c r="C338" s="1" t="n">
        <v>46205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23499-2026</t>
        </is>
      </c>
      <c r="B339" s="1" t="n">
        <v>46163</v>
      </c>
      <c r="C339" s="1" t="n">
        <v>46205</v>
      </c>
      <c r="D339" t="inlineStr">
        <is>
          <t>VÄSTRA GÖTALANDS LÄN</t>
        </is>
      </c>
      <c r="E339" t="inlineStr">
        <is>
          <t>SVENLJUNGA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10894-2024</t>
        </is>
      </c>
      <c r="B340" s="1" t="n">
        <v>45370</v>
      </c>
      <c r="C340" s="1" t="n">
        <v>46205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46936-2024</t>
        </is>
      </c>
      <c r="B341" s="1" t="n">
        <v>45585</v>
      </c>
      <c r="C341" s="1" t="n">
        <v>46205</v>
      </c>
      <c r="D341" t="inlineStr">
        <is>
          <t>VÄSTRA GÖTALANDS LÄN</t>
        </is>
      </c>
      <c r="E341" t="inlineStr">
        <is>
          <t>SVENLJUNGA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23777-2026</t>
        </is>
      </c>
      <c r="B342" s="1" t="n">
        <v>46164</v>
      </c>
      <c r="C342" s="1" t="n">
        <v>46205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47810-2024</t>
        </is>
      </c>
      <c r="B343" s="1" t="n">
        <v>45588</v>
      </c>
      <c r="C343" s="1" t="n">
        <v>46205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45270-2023</t>
        </is>
      </c>
      <c r="B344" s="1" t="n">
        <v>45191</v>
      </c>
      <c r="C344" s="1" t="n">
        <v>46205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45271-2023</t>
        </is>
      </c>
      <c r="B345" s="1" t="n">
        <v>45191</v>
      </c>
      <c r="C345" s="1" t="n">
        <v>46205</v>
      </c>
      <c r="D345" t="inlineStr">
        <is>
          <t>VÄSTRA GÖTALANDS LÄN</t>
        </is>
      </c>
      <c r="E345" t="inlineStr">
        <is>
          <t>SVENLJUNGA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24402-2026</t>
        </is>
      </c>
      <c r="B346" s="1" t="n">
        <v>46169</v>
      </c>
      <c r="C346" s="1" t="n">
        <v>46205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16400-2025</t>
        </is>
      </c>
      <c r="B347" s="1" t="n">
        <v>45751</v>
      </c>
      <c r="C347" s="1" t="n">
        <v>46205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24404-2026</t>
        </is>
      </c>
      <c r="B348" s="1" t="n">
        <v>46169</v>
      </c>
      <c r="C348" s="1" t="n">
        <v>46205</v>
      </c>
      <c r="D348" t="inlineStr">
        <is>
          <t>VÄSTRA GÖTALANDS LÄN</t>
        </is>
      </c>
      <c r="E348" t="inlineStr">
        <is>
          <t>SVENLJUNGA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41382-2024</t>
        </is>
      </c>
      <c r="B349" s="1" t="n">
        <v>45560</v>
      </c>
      <c r="C349" s="1" t="n">
        <v>46205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5606-2024</t>
        </is>
      </c>
      <c r="B350" s="1" t="n">
        <v>45334</v>
      </c>
      <c r="C350" s="1" t="n">
        <v>46205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15708-2023</t>
        </is>
      </c>
      <c r="B351" s="1" t="n">
        <v>45021</v>
      </c>
      <c r="C351" s="1" t="n">
        <v>46205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37109-2022</t>
        </is>
      </c>
      <c r="B352" s="1" t="n">
        <v>44806</v>
      </c>
      <c r="C352" s="1" t="n">
        <v>46205</v>
      </c>
      <c r="D352" t="inlineStr">
        <is>
          <t>VÄSTRA GÖTALANDS LÄN</t>
        </is>
      </c>
      <c r="E352" t="inlineStr">
        <is>
          <t>SVENLJUNGA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24237-2026</t>
        </is>
      </c>
      <c r="B353" s="1" t="n">
        <v>46168</v>
      </c>
      <c r="C353" s="1" t="n">
        <v>46205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31779-2024</t>
        </is>
      </c>
      <c r="B354" s="1" t="n">
        <v>45509</v>
      </c>
      <c r="C354" s="1" t="n">
        <v>46205</v>
      </c>
      <c r="D354" t="inlineStr">
        <is>
          <t>VÄSTRA GÖTALANDS LÄN</t>
        </is>
      </c>
      <c r="E354" t="inlineStr">
        <is>
          <t>SVENLJUNGA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37939-2023</t>
        </is>
      </c>
      <c r="B355" s="1" t="n">
        <v>45160</v>
      </c>
      <c r="C355" s="1" t="n">
        <v>46205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37938-2023</t>
        </is>
      </c>
      <c r="B356" s="1" t="n">
        <v>45160</v>
      </c>
      <c r="C356" s="1" t="n">
        <v>46205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37940-2023</t>
        </is>
      </c>
      <c r="B357" s="1" t="n">
        <v>45160</v>
      </c>
      <c r="C357" s="1" t="n">
        <v>46205</v>
      </c>
      <c r="D357" t="inlineStr">
        <is>
          <t>VÄSTRA GÖTALANDS LÄN</t>
        </is>
      </c>
      <c r="E357" t="inlineStr">
        <is>
          <t>SVENLJUNGA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18090-2024</t>
        </is>
      </c>
      <c r="B358" s="1" t="n">
        <v>45420</v>
      </c>
      <c r="C358" s="1" t="n">
        <v>46205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42703-2023</t>
        </is>
      </c>
      <c r="B359" s="1" t="n">
        <v>45181</v>
      </c>
      <c r="C359" s="1" t="n">
        <v>46205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24822-2026</t>
        </is>
      </c>
      <c r="B360" s="1" t="n">
        <v>46174</v>
      </c>
      <c r="C360" s="1" t="n">
        <v>46205</v>
      </c>
      <c r="D360" t="inlineStr">
        <is>
          <t>VÄSTRA GÖTALANDS LÄN</t>
        </is>
      </c>
      <c r="E360" t="inlineStr">
        <is>
          <t>SVENLJUNGA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52726-2024</t>
        </is>
      </c>
      <c r="B361" s="1" t="n">
        <v>45610</v>
      </c>
      <c r="C361" s="1" t="n">
        <v>46205</v>
      </c>
      <c r="D361" t="inlineStr">
        <is>
          <t>VÄSTRA GÖTALANDS LÄN</t>
        </is>
      </c>
      <c r="E361" t="inlineStr">
        <is>
          <t>SVENLJUNGA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7145-2022</t>
        </is>
      </c>
      <c r="B362" s="1" t="n">
        <v>44603</v>
      </c>
      <c r="C362" s="1" t="n">
        <v>46205</v>
      </c>
      <c r="D362" t="inlineStr">
        <is>
          <t>VÄSTRA GÖTALANDS LÄN</t>
        </is>
      </c>
      <c r="E362" t="inlineStr">
        <is>
          <t>SVENLJUNGA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24824-2026</t>
        </is>
      </c>
      <c r="B363" s="1" t="n">
        <v>46174</v>
      </c>
      <c r="C363" s="1" t="n">
        <v>46205</v>
      </c>
      <c r="D363" t="inlineStr">
        <is>
          <t>VÄSTRA GÖTALANDS LÄN</t>
        </is>
      </c>
      <c r="E363" t="inlineStr">
        <is>
          <t>SVENLJUNGA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24837-2026</t>
        </is>
      </c>
      <c r="B364" s="1" t="n">
        <v>46174</v>
      </c>
      <c r="C364" s="1" t="n">
        <v>46205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25167-2026</t>
        </is>
      </c>
      <c r="B365" s="1" t="n">
        <v>46175</v>
      </c>
      <c r="C365" s="1" t="n">
        <v>46205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11354-2025</t>
        </is>
      </c>
      <c r="B366" s="1" t="n">
        <v>45726</v>
      </c>
      <c r="C366" s="1" t="n">
        <v>46205</v>
      </c>
      <c r="D366" t="inlineStr">
        <is>
          <t>VÄSTRA GÖTALANDS LÄN</t>
        </is>
      </c>
      <c r="E366" t="inlineStr">
        <is>
          <t>SVENLJUNGA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11366-2025</t>
        </is>
      </c>
      <c r="B367" s="1" t="n">
        <v>45726</v>
      </c>
      <c r="C367" s="1" t="n">
        <v>46205</v>
      </c>
      <c r="D367" t="inlineStr">
        <is>
          <t>VÄSTRA GÖTALANDS LÄN</t>
        </is>
      </c>
      <c r="E367" t="inlineStr">
        <is>
          <t>SVENLJUNGA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39689-2023</t>
        </is>
      </c>
      <c r="B368" s="1" t="n">
        <v>45167</v>
      </c>
      <c r="C368" s="1" t="n">
        <v>46205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25165-2026</t>
        </is>
      </c>
      <c r="B369" s="1" t="n">
        <v>46175</v>
      </c>
      <c r="C369" s="1" t="n">
        <v>46205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26146-2023</t>
        </is>
      </c>
      <c r="B370" s="1" t="n">
        <v>45091</v>
      </c>
      <c r="C370" s="1" t="n">
        <v>46205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58905-2024</t>
        </is>
      </c>
      <c r="B371" s="1" t="n">
        <v>45636</v>
      </c>
      <c r="C371" s="1" t="n">
        <v>46205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25225-2026</t>
        </is>
      </c>
      <c r="B372" s="1" t="n">
        <v>46175</v>
      </c>
      <c r="C372" s="1" t="n">
        <v>46205</v>
      </c>
      <c r="D372" t="inlineStr">
        <is>
          <t>VÄSTRA GÖTALANDS LÄN</t>
        </is>
      </c>
      <c r="E372" t="inlineStr">
        <is>
          <t>SVENLJUNGA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25168-2026</t>
        </is>
      </c>
      <c r="B373" s="1" t="n">
        <v>46175</v>
      </c>
      <c r="C373" s="1" t="n">
        <v>46205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52616-2024</t>
        </is>
      </c>
      <c r="B374" s="1" t="n">
        <v>45609</v>
      </c>
      <c r="C374" s="1" t="n">
        <v>46205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49595-2023</t>
        </is>
      </c>
      <c r="B375" s="1" t="n">
        <v>45211</v>
      </c>
      <c r="C375" s="1" t="n">
        <v>46205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16385-2025</t>
        </is>
      </c>
      <c r="B376" s="1" t="n">
        <v>45751</v>
      </c>
      <c r="C376" s="1" t="n">
        <v>46205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9639-2024</t>
        </is>
      </c>
      <c r="B377" s="1" t="n">
        <v>45362</v>
      </c>
      <c r="C377" s="1" t="n">
        <v>46205</v>
      </c>
      <c r="D377" t="inlineStr">
        <is>
          <t>VÄSTRA GÖTALANDS LÄN</t>
        </is>
      </c>
      <c r="E377" t="inlineStr">
        <is>
          <t>SVENLJUNGA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16128-2024</t>
        </is>
      </c>
      <c r="B378" s="1" t="n">
        <v>45407</v>
      </c>
      <c r="C378" s="1" t="n">
        <v>46205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20559-2025</t>
        </is>
      </c>
      <c r="B379" s="1" t="n">
        <v>45775</v>
      </c>
      <c r="C379" s="1" t="n">
        <v>46205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45272-2023</t>
        </is>
      </c>
      <c r="B380" s="1" t="n">
        <v>45191</v>
      </c>
      <c r="C380" s="1" t="n">
        <v>46205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11828-2024</t>
        </is>
      </c>
      <c r="B381" s="1" t="n">
        <v>45376</v>
      </c>
      <c r="C381" s="1" t="n">
        <v>46205</v>
      </c>
      <c r="D381" t="inlineStr">
        <is>
          <t>VÄSTRA GÖTALANDS LÄN</t>
        </is>
      </c>
      <c r="E381" t="inlineStr">
        <is>
          <t>SVENLJUNGA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9361-2022</t>
        </is>
      </c>
      <c r="B382" s="1" t="n">
        <v>44616</v>
      </c>
      <c r="C382" s="1" t="n">
        <v>46205</v>
      </c>
      <c r="D382" t="inlineStr">
        <is>
          <t>VÄSTRA GÖTALANDS LÄN</t>
        </is>
      </c>
      <c r="E382" t="inlineStr">
        <is>
          <t>SVENLJUNGA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38637-2025</t>
        </is>
      </c>
      <c r="B383" s="1" t="n">
        <v>45884</v>
      </c>
      <c r="C383" s="1" t="n">
        <v>46205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13398-2025</t>
        </is>
      </c>
      <c r="B384" s="1" t="n">
        <v>45735</v>
      </c>
      <c r="C384" s="1" t="n">
        <v>46205</v>
      </c>
      <c r="D384" t="inlineStr">
        <is>
          <t>VÄSTRA GÖTALANDS LÄN</t>
        </is>
      </c>
      <c r="E384" t="inlineStr">
        <is>
          <t>SVENLJUNGA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9205-2022</t>
        </is>
      </c>
      <c r="B385" s="1" t="n">
        <v>44615</v>
      </c>
      <c r="C385" s="1" t="n">
        <v>46205</v>
      </c>
      <c r="D385" t="inlineStr">
        <is>
          <t>VÄSTRA GÖTALANDS LÄN</t>
        </is>
      </c>
      <c r="E385" t="inlineStr">
        <is>
          <t>SVENLJUNGA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58308-2023</t>
        </is>
      </c>
      <c r="B386" s="1" t="n">
        <v>45250</v>
      </c>
      <c r="C386" s="1" t="n">
        <v>46205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15521-2025</t>
        </is>
      </c>
      <c r="B387" s="1" t="n">
        <v>45747</v>
      </c>
      <c r="C387" s="1" t="n">
        <v>46205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55547-2023</t>
        </is>
      </c>
      <c r="B388" s="1" t="n">
        <v>45238</v>
      </c>
      <c r="C388" s="1" t="n">
        <v>46205</v>
      </c>
      <c r="D388" t="inlineStr">
        <is>
          <t>VÄSTRA GÖTALANDS LÄN</t>
        </is>
      </c>
      <c r="E388" t="inlineStr">
        <is>
          <t>SVENLJUNGA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55820-2025</t>
        </is>
      </c>
      <c r="B389" s="1" t="n">
        <v>45972</v>
      </c>
      <c r="C389" s="1" t="n">
        <v>46205</v>
      </c>
      <c r="D389" t="inlineStr">
        <is>
          <t>VÄSTRA GÖTALANDS LÄN</t>
        </is>
      </c>
      <c r="E389" t="inlineStr">
        <is>
          <t>SVENLJUNGA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15344-2024</t>
        </is>
      </c>
      <c r="B390" s="1" t="n">
        <v>45400</v>
      </c>
      <c r="C390" s="1" t="n">
        <v>46205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23194-2025</t>
        </is>
      </c>
      <c r="B391" s="1" t="n">
        <v>45791</v>
      </c>
      <c r="C391" s="1" t="n">
        <v>46205</v>
      </c>
      <c r="D391" t="inlineStr">
        <is>
          <t>VÄSTRA GÖTALANDS LÄN</t>
        </is>
      </c>
      <c r="E391" t="inlineStr">
        <is>
          <t>SVENLJUNGA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36242-2025</t>
        </is>
      </c>
      <c r="B392" s="1" t="n">
        <v>45867</v>
      </c>
      <c r="C392" s="1" t="n">
        <v>46205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35406-2025</t>
        </is>
      </c>
      <c r="B393" s="1" t="n">
        <v>45855</v>
      </c>
      <c r="C393" s="1" t="n">
        <v>46205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717-2024</t>
        </is>
      </c>
      <c r="B394" s="1" t="n">
        <v>45300</v>
      </c>
      <c r="C394" s="1" t="n">
        <v>46205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39643-2023</t>
        </is>
      </c>
      <c r="B395" s="1" t="n">
        <v>45167</v>
      </c>
      <c r="C395" s="1" t="n">
        <v>46205</v>
      </c>
      <c r="D395" t="inlineStr">
        <is>
          <t>VÄSTRA GÖTALANDS LÄN</t>
        </is>
      </c>
      <c r="E395" t="inlineStr">
        <is>
          <t>SVENLJUNGA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20556-2025</t>
        </is>
      </c>
      <c r="B396" s="1" t="n">
        <v>45775</v>
      </c>
      <c r="C396" s="1" t="n">
        <v>46205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53770-2024</t>
        </is>
      </c>
      <c r="B397" s="1" t="n">
        <v>45615</v>
      </c>
      <c r="C397" s="1" t="n">
        <v>46205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15378-2025</t>
        </is>
      </c>
      <c r="B398" s="1" t="n">
        <v>45747</v>
      </c>
      <c r="C398" s="1" t="n">
        <v>46205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42357-2023</t>
        </is>
      </c>
      <c r="B399" s="1" t="n">
        <v>45180</v>
      </c>
      <c r="C399" s="1" t="n">
        <v>46205</v>
      </c>
      <c r="D399" t="inlineStr">
        <is>
          <t>VÄSTRA GÖTALANDS LÄN</t>
        </is>
      </c>
      <c r="E399" t="inlineStr">
        <is>
          <t>SVENLJUNGA</t>
        </is>
      </c>
      <c r="G399" t="n">
        <v>17.5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57324-2023</t>
        </is>
      </c>
      <c r="B400" s="1" t="n">
        <v>45245</v>
      </c>
      <c r="C400" s="1" t="n">
        <v>46205</v>
      </c>
      <c r="D400" t="inlineStr">
        <is>
          <t>VÄSTRA GÖTALANDS LÄN</t>
        </is>
      </c>
      <c r="E400" t="inlineStr">
        <is>
          <t>SVENLJUNGA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22949-2025</t>
        </is>
      </c>
      <c r="B401" s="1" t="n">
        <v>45790</v>
      </c>
      <c r="C401" s="1" t="n">
        <v>46205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35034-2022</t>
        </is>
      </c>
      <c r="B402" s="1" t="n">
        <v>44797</v>
      </c>
      <c r="C402" s="1" t="n">
        <v>46205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8956-2023</t>
        </is>
      </c>
      <c r="B403" s="1" t="n">
        <v>44979</v>
      </c>
      <c r="C403" s="1" t="n">
        <v>46205</v>
      </c>
      <c r="D403" t="inlineStr">
        <is>
          <t>VÄSTRA GÖTALANDS LÄN</t>
        </is>
      </c>
      <c r="E403" t="inlineStr">
        <is>
          <t>SVENLJUNGA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22636-2025</t>
        </is>
      </c>
      <c r="B404" s="1" t="n">
        <v>45789</v>
      </c>
      <c r="C404" s="1" t="n">
        <v>46205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30646-2025</t>
        </is>
      </c>
      <c r="B405" s="1" t="n">
        <v>45831</v>
      </c>
      <c r="C405" s="1" t="n">
        <v>46205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24297-2025</t>
        </is>
      </c>
      <c r="B406" s="1" t="n">
        <v>45797</v>
      </c>
      <c r="C406" s="1" t="n">
        <v>46205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</v>
      </c>
      <c r="C407" s="1" t="n">
        <v>46205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9619-2024</t>
        </is>
      </c>
      <c r="B408" s="1" t="n">
        <v>45361</v>
      </c>
      <c r="C408" s="1" t="n">
        <v>46205</v>
      </c>
      <c r="D408" t="inlineStr">
        <is>
          <t>VÄSTRA GÖTALANDS LÄN</t>
        </is>
      </c>
      <c r="E408" t="inlineStr">
        <is>
          <t>SVENLJUNGA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26487-2026</t>
        </is>
      </c>
      <c r="B409" s="1" t="n">
        <v>46183</v>
      </c>
      <c r="C409" s="1" t="n">
        <v>46205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24438-2023</t>
        </is>
      </c>
      <c r="B410" s="1" t="n">
        <v>45082</v>
      </c>
      <c r="C410" s="1" t="n">
        <v>46205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5983-2023</t>
        </is>
      </c>
      <c r="B411" s="1" t="n">
        <v>44964</v>
      </c>
      <c r="C411" s="1" t="n">
        <v>46205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18499-2025</t>
        </is>
      </c>
      <c r="B412" s="1" t="n">
        <v>45763</v>
      </c>
      <c r="C412" s="1" t="n">
        <v>46205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20979-2026</t>
        </is>
      </c>
      <c r="B413" s="1" t="n">
        <v>46142</v>
      </c>
      <c r="C413" s="1" t="n">
        <v>46205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20988-2026</t>
        </is>
      </c>
      <c r="B414" s="1" t="n">
        <v>46142</v>
      </c>
      <c r="C414" s="1" t="n">
        <v>46205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20248-2022</t>
        </is>
      </c>
      <c r="B415" s="1" t="n">
        <v>44698</v>
      </c>
      <c r="C415" s="1" t="n">
        <v>46205</v>
      </c>
      <c r="D415" t="inlineStr">
        <is>
          <t>VÄSTRA GÖTALANDS LÄN</t>
        </is>
      </c>
      <c r="E415" t="inlineStr">
        <is>
          <t>SVENLJUNGA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20975-2026</t>
        </is>
      </c>
      <c r="B416" s="1" t="n">
        <v>46142</v>
      </c>
      <c r="C416" s="1" t="n">
        <v>46205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9455-2024</t>
        </is>
      </c>
      <c r="B417" s="1" t="n">
        <v>45359</v>
      </c>
      <c r="C417" s="1" t="n">
        <v>46205</v>
      </c>
      <c r="D417" t="inlineStr">
        <is>
          <t>VÄSTRA GÖTALANDS LÄN</t>
        </is>
      </c>
      <c r="E417" t="inlineStr">
        <is>
          <t>SVENLJUNGA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52629-2024</t>
        </is>
      </c>
      <c r="B418" s="1" t="n">
        <v>45610</v>
      </c>
      <c r="C418" s="1" t="n">
        <v>46205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42028-2024</t>
        </is>
      </c>
      <c r="B419" s="1" t="n">
        <v>45561</v>
      </c>
      <c r="C419" s="1" t="n">
        <v>46205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21051-2026</t>
        </is>
      </c>
      <c r="B420" s="1" t="n">
        <v>46146</v>
      </c>
      <c r="C420" s="1" t="n">
        <v>46205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13777-2024</t>
        </is>
      </c>
      <c r="B421" s="1" t="n">
        <v>45391</v>
      </c>
      <c r="C421" s="1" t="n">
        <v>46205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41370-2024</t>
        </is>
      </c>
      <c r="B422" s="1" t="n">
        <v>45559</v>
      </c>
      <c r="C422" s="1" t="n">
        <v>46205</v>
      </c>
      <c r="D422" t="inlineStr">
        <is>
          <t>VÄSTRA GÖTALANDS LÄN</t>
        </is>
      </c>
      <c r="E422" t="inlineStr">
        <is>
          <t>SVENLJUNGA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4157-2023</t>
        </is>
      </c>
      <c r="B423" s="1" t="n">
        <v>44953</v>
      </c>
      <c r="C423" s="1" t="n">
        <v>46205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38615-2021</t>
        </is>
      </c>
      <c r="B424" s="1" t="n">
        <v>44409</v>
      </c>
      <c r="C424" s="1" t="n">
        <v>46205</v>
      </c>
      <c r="D424" t="inlineStr">
        <is>
          <t>VÄSTRA GÖTALANDS LÄN</t>
        </is>
      </c>
      <c r="E424" t="inlineStr">
        <is>
          <t>SVENLJUNGA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19615-2024</t>
        </is>
      </c>
      <c r="B425" s="1" t="n">
        <v>45432</v>
      </c>
      <c r="C425" s="1" t="n">
        <v>46205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48758-2022</t>
        </is>
      </c>
      <c r="B426" s="1" t="n">
        <v>44859</v>
      </c>
      <c r="C426" s="1" t="n">
        <v>46205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22183-2023</t>
        </is>
      </c>
      <c r="B427" s="1" t="n">
        <v>45069</v>
      </c>
      <c r="C427" s="1" t="n">
        <v>46205</v>
      </c>
      <c r="D427" t="inlineStr">
        <is>
          <t>VÄSTRA GÖTALANDS LÄN</t>
        </is>
      </c>
      <c r="E427" t="inlineStr">
        <is>
          <t>SVENLJUNGA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22185-2023</t>
        </is>
      </c>
      <c r="B428" s="1" t="n">
        <v>45069</v>
      </c>
      <c r="C428" s="1" t="n">
        <v>46205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4124-2022</t>
        </is>
      </c>
      <c r="B429" s="1" t="n">
        <v>44588</v>
      </c>
      <c r="C429" s="1" t="n">
        <v>46205</v>
      </c>
      <c r="D429" t="inlineStr">
        <is>
          <t>VÄSTRA GÖTALANDS LÄN</t>
        </is>
      </c>
      <c r="E429" t="inlineStr">
        <is>
          <t>SVENLJUNGA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21904-2026</t>
        </is>
      </c>
      <c r="B430" s="1" t="n">
        <v>46150</v>
      </c>
      <c r="C430" s="1" t="n">
        <v>46205</v>
      </c>
      <c r="D430" t="inlineStr">
        <is>
          <t>VÄSTRA GÖTALANDS LÄN</t>
        </is>
      </c>
      <c r="E430" t="inlineStr">
        <is>
          <t>SVENLJUNGA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15164-2022</t>
        </is>
      </c>
      <c r="B431" s="1" t="n">
        <v>44658</v>
      </c>
      <c r="C431" s="1" t="n">
        <v>46205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28889-2022</t>
        </is>
      </c>
      <c r="B432" s="1" t="n">
        <v>44749</v>
      </c>
      <c r="C432" s="1" t="n">
        <v>46205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21623-2026</t>
        </is>
      </c>
      <c r="B433" s="1" t="n">
        <v>46149</v>
      </c>
      <c r="C433" s="1" t="n">
        <v>46205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21625-2026</t>
        </is>
      </c>
      <c r="B434" s="1" t="n">
        <v>46149</v>
      </c>
      <c r="C434" s="1" t="n">
        <v>46205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21617-2026</t>
        </is>
      </c>
      <c r="B435" s="1" t="n">
        <v>46149</v>
      </c>
      <c r="C435" s="1" t="n">
        <v>46205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134-2022</t>
        </is>
      </c>
      <c r="B436" s="1" t="n">
        <v>44564</v>
      </c>
      <c r="C436" s="1" t="n">
        <v>46205</v>
      </c>
      <c r="D436" t="inlineStr">
        <is>
          <t>VÄSTRA GÖTALANDS LÄN</t>
        </is>
      </c>
      <c r="E436" t="inlineStr">
        <is>
          <t>SVENLJUNGA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9844-2024</t>
        </is>
      </c>
      <c r="B437" s="1" t="n">
        <v>45363</v>
      </c>
      <c r="C437" s="1" t="n">
        <v>46205</v>
      </c>
      <c r="D437" t="inlineStr">
        <is>
          <t>VÄSTRA GÖTALANDS LÄN</t>
        </is>
      </c>
      <c r="E437" t="inlineStr">
        <is>
          <t>SVENLJUNGA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28242-2026</t>
        </is>
      </c>
      <c r="B438" s="1" t="n">
        <v>46196</v>
      </c>
      <c r="C438" s="1" t="n">
        <v>46205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24392-2022</t>
        </is>
      </c>
      <c r="B439" s="1" t="n">
        <v>44726</v>
      </c>
      <c r="C439" s="1" t="n">
        <v>46205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3027-2024</t>
        </is>
      </c>
      <c r="B440" s="1" t="n">
        <v>45316</v>
      </c>
      <c r="C440" s="1" t="n">
        <v>46205</v>
      </c>
      <c r="D440" t="inlineStr">
        <is>
          <t>VÄSTRA GÖTALANDS LÄN</t>
        </is>
      </c>
      <c r="E440" t="inlineStr">
        <is>
          <t>SVENLJUNGA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63478-2023</t>
        </is>
      </c>
      <c r="B441" s="1" t="n">
        <v>45274</v>
      </c>
      <c r="C441" s="1" t="n">
        <v>46205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30477-2023</t>
        </is>
      </c>
      <c r="B442" s="1" t="n">
        <v>45111</v>
      </c>
      <c r="C442" s="1" t="n">
        <v>46205</v>
      </c>
      <c r="D442" t="inlineStr">
        <is>
          <t>VÄSTRA GÖTALANDS LÄN</t>
        </is>
      </c>
      <c r="E442" t="inlineStr">
        <is>
          <t>SVENLJUNGA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6013-2023</t>
        </is>
      </c>
      <c r="B443" s="1" t="n">
        <v>44964</v>
      </c>
      <c r="C443" s="1" t="n">
        <v>46205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11373-2025</t>
        </is>
      </c>
      <c r="B444" s="1" t="n">
        <v>45726</v>
      </c>
      <c r="C444" s="1" t="n">
        <v>46205</v>
      </c>
      <c r="D444" t="inlineStr">
        <is>
          <t>VÄSTRA GÖTALANDS LÄN</t>
        </is>
      </c>
      <c r="E444" t="inlineStr">
        <is>
          <t>SVENLJUNGA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49071-2021</t>
        </is>
      </c>
      <c r="B445" s="1" t="n">
        <v>44453</v>
      </c>
      <c r="C445" s="1" t="n">
        <v>46205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59154-2025</t>
        </is>
      </c>
      <c r="B446" s="1" t="n">
        <v>45988</v>
      </c>
      <c r="C446" s="1" t="n">
        <v>46205</v>
      </c>
      <c r="D446" t="inlineStr">
        <is>
          <t>VÄSTRA GÖTALANDS LÄN</t>
        </is>
      </c>
      <c r="E446" t="inlineStr">
        <is>
          <t>SVENLJUNGA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15320-2025</t>
        </is>
      </c>
      <c r="B447" s="1" t="n">
        <v>45747</v>
      </c>
      <c r="C447" s="1" t="n">
        <v>46205</v>
      </c>
      <c r="D447" t="inlineStr">
        <is>
          <t>VÄSTRA GÖTALANDS LÄN</t>
        </is>
      </c>
      <c r="E447" t="inlineStr">
        <is>
          <t>SVENLJUNGA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13966-2025</t>
        </is>
      </c>
      <c r="B448" s="1" t="n">
        <v>45738</v>
      </c>
      <c r="C448" s="1" t="n">
        <v>46205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28053-2023</t>
        </is>
      </c>
      <c r="B449" s="1" t="n">
        <v>45099</v>
      </c>
      <c r="C449" s="1" t="n">
        <v>46205</v>
      </c>
      <c r="D449" t="inlineStr">
        <is>
          <t>VÄSTRA GÖTALANDS LÄN</t>
        </is>
      </c>
      <c r="E449" t="inlineStr">
        <is>
          <t>SVENLJUNGA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9460-2023</t>
        </is>
      </c>
      <c r="B450" s="1" t="n">
        <v>44981</v>
      </c>
      <c r="C450" s="1" t="n">
        <v>46205</v>
      </c>
      <c r="D450" t="inlineStr">
        <is>
          <t>VÄSTRA GÖTALANDS LÄN</t>
        </is>
      </c>
      <c r="E450" t="inlineStr">
        <is>
          <t>SVENLJUNGA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10897-2024</t>
        </is>
      </c>
      <c r="B451" s="1" t="n">
        <v>45370</v>
      </c>
      <c r="C451" s="1" t="n">
        <v>46205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36103-2024</t>
        </is>
      </c>
      <c r="B452" s="1" t="n">
        <v>45533</v>
      </c>
      <c r="C452" s="1" t="n">
        <v>46205</v>
      </c>
      <c r="D452" t="inlineStr">
        <is>
          <t>VÄSTRA GÖTALANDS LÄN</t>
        </is>
      </c>
      <c r="E452" t="inlineStr">
        <is>
          <t>SVENLJUNGA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61997-2023</t>
        </is>
      </c>
      <c r="B453" s="1" t="n">
        <v>45266</v>
      </c>
      <c r="C453" s="1" t="n">
        <v>46205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37905-2023</t>
        </is>
      </c>
      <c r="B454" s="1" t="n">
        <v>45160</v>
      </c>
      <c r="C454" s="1" t="n">
        <v>46205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29811-2024</t>
        </is>
      </c>
      <c r="B455" s="1" t="n">
        <v>45485</v>
      </c>
      <c r="C455" s="1" t="n">
        <v>46205</v>
      </c>
      <c r="D455" t="inlineStr">
        <is>
          <t>VÄSTRA GÖTALANDS LÄN</t>
        </is>
      </c>
      <c r="E455" t="inlineStr">
        <is>
          <t>SVENLJUNGA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28972-2026</t>
        </is>
      </c>
      <c r="B456" s="1" t="n">
        <v>46199</v>
      </c>
      <c r="C456" s="1" t="n">
        <v>46205</v>
      </c>
      <c r="D456" t="inlineStr">
        <is>
          <t>VÄSTRA GÖTALANDS LÄN</t>
        </is>
      </c>
      <c r="E456" t="inlineStr">
        <is>
          <t>SVENLJUNGA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28959-2026</t>
        </is>
      </c>
      <c r="B457" s="1" t="n">
        <v>46199</v>
      </c>
      <c r="C457" s="1" t="n">
        <v>46205</v>
      </c>
      <c r="D457" t="inlineStr">
        <is>
          <t>VÄSTRA GÖTALANDS LÄN</t>
        </is>
      </c>
      <c r="E457" t="inlineStr">
        <is>
          <t>SVENLJUNGA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28969-2026</t>
        </is>
      </c>
      <c r="B458" s="1" t="n">
        <v>46199</v>
      </c>
      <c r="C458" s="1" t="n">
        <v>46205</v>
      </c>
      <c r="D458" t="inlineStr">
        <is>
          <t>VÄSTRA GÖTALANDS LÄN</t>
        </is>
      </c>
      <c r="E458" t="inlineStr">
        <is>
          <t>SVENLJUNGA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49101-2022</t>
        </is>
      </c>
      <c r="B459" s="1" t="n">
        <v>44860</v>
      </c>
      <c r="C459" s="1" t="n">
        <v>46205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28962-2026</t>
        </is>
      </c>
      <c r="B460" s="1" t="n">
        <v>46199</v>
      </c>
      <c r="C460" s="1" t="n">
        <v>46205</v>
      </c>
      <c r="D460" t="inlineStr">
        <is>
          <t>VÄSTRA GÖTALANDS LÄN</t>
        </is>
      </c>
      <c r="E460" t="inlineStr">
        <is>
          <t>SVENLJUNGA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24434-2023</t>
        </is>
      </c>
      <c r="B461" s="1" t="n">
        <v>45082</v>
      </c>
      <c r="C461" s="1" t="n">
        <v>46205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4231-2023</t>
        </is>
      </c>
      <c r="B462" s="1" t="n">
        <v>44953</v>
      </c>
      <c r="C462" s="1" t="n">
        <v>46205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2028-2023</t>
        </is>
      </c>
      <c r="B463" s="1" t="n">
        <v>44937</v>
      </c>
      <c r="C463" s="1" t="n">
        <v>46205</v>
      </c>
      <c r="D463" t="inlineStr">
        <is>
          <t>VÄSTRA GÖTALANDS LÄN</t>
        </is>
      </c>
      <c r="E463" t="inlineStr">
        <is>
          <t>SVENLJUNGA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43524-2024</t>
        </is>
      </c>
      <c r="B464" s="1" t="n">
        <v>45569</v>
      </c>
      <c r="C464" s="1" t="n">
        <v>46205</v>
      </c>
      <c r="D464" t="inlineStr">
        <is>
          <t>VÄSTRA GÖTALANDS LÄN</t>
        </is>
      </c>
      <c r="E464" t="inlineStr">
        <is>
          <t>SVENLJUNGA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42052-2025</t>
        </is>
      </c>
      <c r="B465" s="1" t="n">
        <v>45902</v>
      </c>
      <c r="C465" s="1" t="n">
        <v>46205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56926-2024</t>
        </is>
      </c>
      <c r="B466" s="1" t="n">
        <v>45628</v>
      </c>
      <c r="C466" s="1" t="n">
        <v>46205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55206-2024</t>
        </is>
      </c>
      <c r="B467" s="1" t="n">
        <v>45621</v>
      </c>
      <c r="C467" s="1" t="n">
        <v>46205</v>
      </c>
      <c r="D467" t="inlineStr">
        <is>
          <t>VÄSTRA GÖTALANDS LÄN</t>
        </is>
      </c>
      <c r="E467" t="inlineStr">
        <is>
          <t>SVENLJUNGA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49540-2023</t>
        </is>
      </c>
      <c r="B468" s="1" t="n">
        <v>45211</v>
      </c>
      <c r="C468" s="1" t="n">
        <v>46205</v>
      </c>
      <c r="D468" t="inlineStr">
        <is>
          <t>VÄSTRA GÖTALANDS LÄN</t>
        </is>
      </c>
      <c r="E468" t="inlineStr">
        <is>
          <t>SVENLJUNGA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60561-2024</t>
        </is>
      </c>
      <c r="B469" s="1" t="n">
        <v>45644</v>
      </c>
      <c r="C469" s="1" t="n">
        <v>46205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16390-2025</t>
        </is>
      </c>
      <c r="B470" s="1" t="n">
        <v>45751</v>
      </c>
      <c r="C470" s="1" t="n">
        <v>46205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8447-2024</t>
        </is>
      </c>
      <c r="B471" s="1" t="n">
        <v>45354</v>
      </c>
      <c r="C471" s="1" t="n">
        <v>46205</v>
      </c>
      <c r="D471" t="inlineStr">
        <is>
          <t>VÄSTRA GÖTALANDS LÄN</t>
        </is>
      </c>
      <c r="E471" t="inlineStr">
        <is>
          <t>SVENLJUNGA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13949-2025</t>
        </is>
      </c>
      <c r="B472" s="1" t="n">
        <v>45737</v>
      </c>
      <c r="C472" s="1" t="n">
        <v>46205</v>
      </c>
      <c r="D472" t="inlineStr">
        <is>
          <t>VÄSTRA GÖTALANDS LÄN</t>
        </is>
      </c>
      <c r="E472" t="inlineStr">
        <is>
          <t>SVENLJUNGA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12961-2026</t>
        </is>
      </c>
      <c r="B473" s="1" t="n">
        <v>46092</v>
      </c>
      <c r="C473" s="1" t="n">
        <v>46205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16844-2024</t>
        </is>
      </c>
      <c r="B474" s="1" t="n">
        <v>45411</v>
      </c>
      <c r="C474" s="1" t="n">
        <v>46205</v>
      </c>
      <c r="D474" t="inlineStr">
        <is>
          <t>VÄSTRA GÖTALANDS LÄN</t>
        </is>
      </c>
      <c r="E474" t="inlineStr">
        <is>
          <t>SVENLJUNGA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58922-2022</t>
        </is>
      </c>
      <c r="B475" s="1" t="n">
        <v>44903</v>
      </c>
      <c r="C475" s="1" t="n">
        <v>46205</v>
      </c>
      <c r="D475" t="inlineStr">
        <is>
          <t>VÄSTRA GÖTALANDS LÄN</t>
        </is>
      </c>
      <c r="E475" t="inlineStr">
        <is>
          <t>SVENLJUNGA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10379-2025</t>
        </is>
      </c>
      <c r="B476" s="1" t="n">
        <v>45720</v>
      </c>
      <c r="C476" s="1" t="n">
        <v>46205</v>
      </c>
      <c r="D476" t="inlineStr">
        <is>
          <t>VÄSTRA GÖTALANDS LÄN</t>
        </is>
      </c>
      <c r="E476" t="inlineStr">
        <is>
          <t>SVENLJUNGA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58478-2022</t>
        </is>
      </c>
      <c r="B477" s="1" t="n">
        <v>44902</v>
      </c>
      <c r="C477" s="1" t="n">
        <v>46205</v>
      </c>
      <c r="D477" t="inlineStr">
        <is>
          <t>VÄSTRA GÖTALANDS LÄN</t>
        </is>
      </c>
      <c r="E477" t="inlineStr">
        <is>
          <t>SVENLJUNGA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11216-2025</t>
        </is>
      </c>
      <c r="B478" s="1" t="n">
        <v>45726</v>
      </c>
      <c r="C478" s="1" t="n">
        <v>46205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11238-2025</t>
        </is>
      </c>
      <c r="B479" s="1" t="n">
        <v>45726</v>
      </c>
      <c r="C479" s="1" t="n">
        <v>46205</v>
      </c>
      <c r="D479" t="inlineStr">
        <is>
          <t>VÄSTRA GÖTALANDS LÄN</t>
        </is>
      </c>
      <c r="E479" t="inlineStr">
        <is>
          <t>SVENLJUNGA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61272-2024</t>
        </is>
      </c>
      <c r="B480" s="1" t="n">
        <v>45645</v>
      </c>
      <c r="C480" s="1" t="n">
        <v>46205</v>
      </c>
      <c r="D480" t="inlineStr">
        <is>
          <t>VÄSTRA GÖTALANDS LÄN</t>
        </is>
      </c>
      <c r="E480" t="inlineStr">
        <is>
          <t>SVENLJUNGA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43885-2024</t>
        </is>
      </c>
      <c r="B481" s="1" t="n">
        <v>45572</v>
      </c>
      <c r="C481" s="1" t="n">
        <v>46205</v>
      </c>
      <c r="D481" t="inlineStr">
        <is>
          <t>VÄSTRA GÖTALANDS LÄN</t>
        </is>
      </c>
      <c r="E481" t="inlineStr">
        <is>
          <t>SVENLJUNGA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27535-2024</t>
        </is>
      </c>
      <c r="B482" s="1" t="n">
        <v>45474</v>
      </c>
      <c r="C482" s="1" t="n">
        <v>46205</v>
      </c>
      <c r="D482" t="inlineStr">
        <is>
          <t>VÄSTRA GÖTALANDS LÄN</t>
        </is>
      </c>
      <c r="E482" t="inlineStr">
        <is>
          <t>SVENLJUNGA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11410-2024</t>
        </is>
      </c>
      <c r="B483" s="1" t="n">
        <v>45372</v>
      </c>
      <c r="C483" s="1" t="n">
        <v>46205</v>
      </c>
      <c r="D483" t="inlineStr">
        <is>
          <t>VÄSTRA GÖTALANDS LÄN</t>
        </is>
      </c>
      <c r="E483" t="inlineStr">
        <is>
          <t>SVENLJUNGA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9390-2023</t>
        </is>
      </c>
      <c r="B484" s="1" t="n">
        <v>44981</v>
      </c>
      <c r="C484" s="1" t="n">
        <v>46205</v>
      </c>
      <c r="D484" t="inlineStr">
        <is>
          <t>VÄSTRA GÖTALANDS LÄN</t>
        </is>
      </c>
      <c r="E484" t="inlineStr">
        <is>
          <t>SVENLJUNGA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37907-2024</t>
        </is>
      </c>
      <c r="B485" s="1" t="n">
        <v>45544</v>
      </c>
      <c r="C485" s="1" t="n">
        <v>46205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57855-2022</t>
        </is>
      </c>
      <c r="B486" s="1" t="n">
        <v>44898</v>
      </c>
      <c r="C486" s="1" t="n">
        <v>46205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9003-2025</t>
        </is>
      </c>
      <c r="B487" s="1" t="n">
        <v>45713</v>
      </c>
      <c r="C487" s="1" t="n">
        <v>46205</v>
      </c>
      <c r="D487" t="inlineStr">
        <is>
          <t>VÄSTRA GÖTALANDS LÄN</t>
        </is>
      </c>
      <c r="E487" t="inlineStr">
        <is>
          <t>SVENLJUNGA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52377-2024</t>
        </is>
      </c>
      <c r="B488" s="1" t="n">
        <v>45609</v>
      </c>
      <c r="C488" s="1" t="n">
        <v>46205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19869-2024</t>
        </is>
      </c>
      <c r="B489" s="1" t="n">
        <v>45433</v>
      </c>
      <c r="C489" s="1" t="n">
        <v>46205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9532-2022</t>
        </is>
      </c>
      <c r="B490" s="1" t="n">
        <v>44617</v>
      </c>
      <c r="C490" s="1" t="n">
        <v>46205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11363-2025</t>
        </is>
      </c>
      <c r="B491" s="1" t="n">
        <v>45726</v>
      </c>
      <c r="C491" s="1" t="n">
        <v>46205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31453-2023</t>
        </is>
      </c>
      <c r="B492" s="1" t="n">
        <v>45114</v>
      </c>
      <c r="C492" s="1" t="n">
        <v>46205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1741-2022</t>
        </is>
      </c>
      <c r="B493" s="1" t="n">
        <v>44574</v>
      </c>
      <c r="C493" s="1" t="n">
        <v>46205</v>
      </c>
      <c r="D493" t="inlineStr">
        <is>
          <t>VÄSTRA GÖTALANDS LÄN</t>
        </is>
      </c>
      <c r="E493" t="inlineStr">
        <is>
          <t>SVENLJUNGA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12631-2023</t>
        </is>
      </c>
      <c r="B494" s="1" t="n">
        <v>45000</v>
      </c>
      <c r="C494" s="1" t="n">
        <v>46205</v>
      </c>
      <c r="D494" t="inlineStr">
        <is>
          <t>VÄSTRA GÖTALANDS LÄN</t>
        </is>
      </c>
      <c r="E494" t="inlineStr">
        <is>
          <t>SVENLJUNGA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52408-2024</t>
        </is>
      </c>
      <c r="B495" s="1" t="n">
        <v>45609</v>
      </c>
      <c r="C495" s="1" t="n">
        <v>46205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43614-2022</t>
        </is>
      </c>
      <c r="B496" s="1" t="n">
        <v>44837</v>
      </c>
      <c r="C496" s="1" t="n">
        <v>46205</v>
      </c>
      <c r="D496" t="inlineStr">
        <is>
          <t>VÄSTRA GÖTALANDS LÄN</t>
        </is>
      </c>
      <c r="E496" t="inlineStr">
        <is>
          <t>SVENLJUNGA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45523-2023</t>
        </is>
      </c>
      <c r="B497" s="1" t="n">
        <v>45194</v>
      </c>
      <c r="C497" s="1" t="n">
        <v>46205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7607-2025</t>
        </is>
      </c>
      <c r="B498" s="1" t="n">
        <v>45705</v>
      </c>
      <c r="C498" s="1" t="n">
        <v>46205</v>
      </c>
      <c r="D498" t="inlineStr">
        <is>
          <t>VÄSTRA GÖTALANDS LÄN</t>
        </is>
      </c>
      <c r="E498" t="inlineStr">
        <is>
          <t>SVENLJUNGA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21945-2025</t>
        </is>
      </c>
      <c r="B499" s="1" t="n">
        <v>45784</v>
      </c>
      <c r="C499" s="1" t="n">
        <v>46205</v>
      </c>
      <c r="D499" t="inlineStr">
        <is>
          <t>VÄSTRA GÖTALANDS LÄN</t>
        </is>
      </c>
      <c r="E499" t="inlineStr">
        <is>
          <t>SVENLJUNGA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6715-2024</t>
        </is>
      </c>
      <c r="B500" s="1" t="n">
        <v>45342</v>
      </c>
      <c r="C500" s="1" t="n">
        <v>46205</v>
      </c>
      <c r="D500" t="inlineStr">
        <is>
          <t>VÄSTRA GÖTALANDS LÄN</t>
        </is>
      </c>
      <c r="E500" t="inlineStr">
        <is>
          <t>SVENLJUNGA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33921-2024</t>
        </is>
      </c>
      <c r="B501" s="1" t="n">
        <v>45523</v>
      </c>
      <c r="C501" s="1" t="n">
        <v>46205</v>
      </c>
      <c r="D501" t="inlineStr">
        <is>
          <t>VÄSTRA GÖTALANDS LÄN</t>
        </is>
      </c>
      <c r="E501" t="inlineStr">
        <is>
          <t>SVENLJUNGA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32347-2023</t>
        </is>
      </c>
      <c r="B502" s="1" t="n">
        <v>45120</v>
      </c>
      <c r="C502" s="1" t="n">
        <v>46205</v>
      </c>
      <c r="D502" t="inlineStr">
        <is>
          <t>VÄSTRA GÖTALANDS LÄN</t>
        </is>
      </c>
      <c r="E502" t="inlineStr">
        <is>
          <t>SVENLJUNGA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21943-2025</t>
        </is>
      </c>
      <c r="B503" s="1" t="n">
        <v>45784</v>
      </c>
      <c r="C503" s="1" t="n">
        <v>46205</v>
      </c>
      <c r="D503" t="inlineStr">
        <is>
          <t>VÄSTRA GÖTALANDS LÄN</t>
        </is>
      </c>
      <c r="E503" t="inlineStr">
        <is>
          <t>SVENLJUNGA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57141-2024</t>
        </is>
      </c>
      <c r="B504" s="1" t="n">
        <v>45629</v>
      </c>
      <c r="C504" s="1" t="n">
        <v>46205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25135-2023</t>
        </is>
      </c>
      <c r="B505" s="1" t="n">
        <v>45086</v>
      </c>
      <c r="C505" s="1" t="n">
        <v>46205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22201-2025</t>
        </is>
      </c>
      <c r="B506" s="1" t="n">
        <v>45785</v>
      </c>
      <c r="C506" s="1" t="n">
        <v>46205</v>
      </c>
      <c r="D506" t="inlineStr">
        <is>
          <t>VÄSTRA GÖTALANDS LÄN</t>
        </is>
      </c>
      <c r="E506" t="inlineStr">
        <is>
          <t>SVENLJUNGA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12785-2024</t>
        </is>
      </c>
      <c r="B507" s="1" t="n">
        <v>45384</v>
      </c>
      <c r="C507" s="1" t="n">
        <v>46205</v>
      </c>
      <c r="D507" t="inlineStr">
        <is>
          <t>VÄSTRA GÖTALANDS LÄN</t>
        </is>
      </c>
      <c r="E507" t="inlineStr">
        <is>
          <t>SVENLJUNGA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43879-2024</t>
        </is>
      </c>
      <c r="B508" s="1" t="n">
        <v>45572</v>
      </c>
      <c r="C508" s="1" t="n">
        <v>46205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61961-2023</t>
        </is>
      </c>
      <c r="B509" s="1" t="n">
        <v>45266</v>
      </c>
      <c r="C509" s="1" t="n">
        <v>46205</v>
      </c>
      <c r="D509" t="inlineStr">
        <is>
          <t>VÄSTRA GÖTALANDS LÄN</t>
        </is>
      </c>
      <c r="E509" t="inlineStr">
        <is>
          <t>SVENLJUNGA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35496-2024</t>
        </is>
      </c>
      <c r="B510" s="1" t="n">
        <v>45531</v>
      </c>
      <c r="C510" s="1" t="n">
        <v>46205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23348-2025</t>
        </is>
      </c>
      <c r="B511" s="1" t="n">
        <v>45791</v>
      </c>
      <c r="C511" s="1" t="n">
        <v>46205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23349-2025</t>
        </is>
      </c>
      <c r="B512" s="1" t="n">
        <v>45791</v>
      </c>
      <c r="C512" s="1" t="n">
        <v>46205</v>
      </c>
      <c r="D512" t="inlineStr">
        <is>
          <t>VÄSTRA GÖTALANDS LÄN</t>
        </is>
      </c>
      <c r="E512" t="inlineStr">
        <is>
          <t>SVENLJUNGA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41240-2024</t>
        </is>
      </c>
      <c r="B513" s="1" t="n">
        <v>45559</v>
      </c>
      <c r="C513" s="1" t="n">
        <v>46205</v>
      </c>
      <c r="D513" t="inlineStr">
        <is>
          <t>VÄSTRA GÖTALANDS LÄN</t>
        </is>
      </c>
      <c r="E513" t="inlineStr">
        <is>
          <t>SVENLJUNGA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49441-2023</t>
        </is>
      </c>
      <c r="B514" s="1" t="n">
        <v>45211</v>
      </c>
      <c r="C514" s="1" t="n">
        <v>46205</v>
      </c>
      <c r="D514" t="inlineStr">
        <is>
          <t>VÄSTRA GÖTALANDS LÄN</t>
        </is>
      </c>
      <c r="E514" t="inlineStr">
        <is>
          <t>SVENLJUNGA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49184-2021</t>
        </is>
      </c>
      <c r="B515" s="1" t="n">
        <v>44454</v>
      </c>
      <c r="C515" s="1" t="n">
        <v>46205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44033-2023</t>
        </is>
      </c>
      <c r="B516" s="1" t="n">
        <v>45182</v>
      </c>
      <c r="C516" s="1" t="n">
        <v>46205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2026-07-02T00:58:26Z</dcterms:created>
  <dcterms:modified xmlns:dcterms="http://purl.org/dc/terms/" xmlns:xsi="http://www.w3.org/2001/XMLSchema-instance" xsi:type="dcterms:W3CDTF">2026-07-02T00:58:27Z</dcterms:modified>
</cp:coreProperties>
</file>