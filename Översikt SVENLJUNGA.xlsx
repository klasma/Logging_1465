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45712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45712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45712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45712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45712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45712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45712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45712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45712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45712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45712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45712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45712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7185-2024</t>
        </is>
      </c>
      <c r="B15" s="1" t="n">
        <v>45344</v>
      </c>
      <c r="C15" s="1" t="n">
        <v>45712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Kommuner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HYPERLINK("https://klasma.github.io/Logging_1465/artfynd/A 7185-2024 artfynd.xlsx", "A 7185-2024")</f>
        <v/>
      </c>
      <c r="T15">
        <f>HYPERLINK("https://klasma.github.io/Logging_1465/kartor/A 7185-2024 karta.png", "A 7185-2024")</f>
        <v/>
      </c>
      <c r="V15">
        <f>HYPERLINK("https://klasma.github.io/Logging_1465/klagomål/A 7185-2024 FSC-klagomål.docx", "A 7185-2024")</f>
        <v/>
      </c>
      <c r="W15">
        <f>HYPERLINK("https://klasma.github.io/Logging_1465/klagomålsmail/A 7185-2024 FSC-klagomål mail.docx", "A 7185-2024")</f>
        <v/>
      </c>
      <c r="X15">
        <f>HYPERLINK("https://klasma.github.io/Logging_1465/tillsyn/A 7185-2024 tillsynsbegäran.docx", "A 7185-2024")</f>
        <v/>
      </c>
      <c r="Y15">
        <f>HYPERLINK("https://klasma.github.io/Logging_1465/tillsynsmail/A 7185-2024 tillsynsbegäran mail.docx", "A 7185-2024")</f>
        <v/>
      </c>
    </row>
    <row r="16" ht="15" customHeight="1">
      <c r="A16" t="inlineStr">
        <is>
          <t>A 9635-2024</t>
        </is>
      </c>
      <c r="B16" s="1" t="n">
        <v>45362</v>
      </c>
      <c r="C16" s="1" t="n">
        <v>45712</v>
      </c>
      <c r="D16" t="inlineStr">
        <is>
          <t>VÄSTRA GÖTALANDS LÄN</t>
        </is>
      </c>
      <c r="E16" t="inlineStr">
        <is>
          <t>SVENLJUNGA</t>
        </is>
      </c>
      <c r="G16" t="n">
        <v>8.9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Almlav</t>
        </is>
      </c>
      <c r="S16">
        <f>HYPERLINK("https://klasma.github.io/Logging_1465/artfynd/A 9635-2024 artfynd.xlsx", "A 9635-2024")</f>
        <v/>
      </c>
      <c r="T16">
        <f>HYPERLINK("https://klasma.github.io/Logging_1465/kartor/A 9635-2024 karta.png", "A 9635-2024")</f>
        <v/>
      </c>
      <c r="V16">
        <f>HYPERLINK("https://klasma.github.io/Logging_1465/klagomål/A 9635-2024 FSC-klagomål.docx", "A 9635-2024")</f>
        <v/>
      </c>
      <c r="W16">
        <f>HYPERLINK("https://klasma.github.io/Logging_1465/klagomålsmail/A 9635-2024 FSC-klagomål mail.docx", "A 9635-2024")</f>
        <v/>
      </c>
      <c r="X16">
        <f>HYPERLINK("https://klasma.github.io/Logging_1465/tillsyn/A 9635-2024 tillsynsbegäran.docx", "A 9635-2024")</f>
        <v/>
      </c>
      <c r="Y16">
        <f>HYPERLINK("https://klasma.github.io/Logging_1465/tillsynsmail/A 9635-2024 tillsynsbegäran mail.docx", "A 9635-2024")</f>
        <v/>
      </c>
    </row>
    <row r="17" ht="15" customHeight="1">
      <c r="A17" t="inlineStr">
        <is>
          <t>A 12025-2024</t>
        </is>
      </c>
      <c r="B17" s="1" t="n">
        <v>45377</v>
      </c>
      <c r="C17" s="1" t="n">
        <v>45712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Sveaskog</t>
        </is>
      </c>
      <c r="G17" t="n">
        <v>11.6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HYPERLINK("https://klasma.github.io/Logging_1465/artfynd/A 12025-2024 artfynd.xlsx", "A 12025-2024")</f>
        <v/>
      </c>
      <c r="T17">
        <f>HYPERLINK("https://klasma.github.io/Logging_1465/kartor/A 12025-2024 karta.png", "A 12025-2024")</f>
        <v/>
      </c>
      <c r="V17">
        <f>HYPERLINK("https://klasma.github.io/Logging_1465/klagomål/A 12025-2024 FSC-klagomål.docx", "A 12025-2024")</f>
        <v/>
      </c>
      <c r="W17">
        <f>HYPERLINK("https://klasma.github.io/Logging_1465/klagomålsmail/A 12025-2024 FSC-klagomål mail.docx", "A 12025-2024")</f>
        <v/>
      </c>
      <c r="X17">
        <f>HYPERLINK("https://klasma.github.io/Logging_1465/tillsyn/A 12025-2024 tillsynsbegäran.docx", "A 12025-2024")</f>
        <v/>
      </c>
      <c r="Y17">
        <f>HYPERLINK("https://klasma.github.io/Logging_1465/tillsynsmail/A 12025-2024 tillsynsbegäran mail.docx", "A 12025-2024")</f>
        <v/>
      </c>
      <c r="Z17">
        <f>HYPERLINK("https://klasma.github.io/Logging_1465/fåglar/A 12025-2024 prioriterade fågelarter.docx", "A 12025-2024")</f>
        <v/>
      </c>
    </row>
    <row r="18" ht="15" customHeight="1">
      <c r="A18" t="inlineStr">
        <is>
          <t>A 26712-2024</t>
        </is>
      </c>
      <c r="B18" s="1" t="n">
        <v>45470</v>
      </c>
      <c r="C18" s="1" t="n">
        <v>45712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HYPERLINK("https://klasma.github.io/Logging_1465/artfynd/A 26712-2024 artfynd.xlsx", "A 26712-2024")</f>
        <v/>
      </c>
      <c r="T18">
        <f>HYPERLINK("https://klasma.github.io/Logging_1465/kartor/A 26712-2024 karta.png", "A 26712-2024")</f>
        <v/>
      </c>
      <c r="V18">
        <f>HYPERLINK("https://klasma.github.io/Logging_1465/klagomål/A 26712-2024 FSC-klagomål.docx", "A 26712-2024")</f>
        <v/>
      </c>
      <c r="W18">
        <f>HYPERLINK("https://klasma.github.io/Logging_1465/klagomålsmail/A 26712-2024 FSC-klagomål mail.docx", "A 26712-2024")</f>
        <v/>
      </c>
      <c r="X18">
        <f>HYPERLINK("https://klasma.github.io/Logging_1465/tillsyn/A 26712-2024 tillsynsbegäran.docx", "A 26712-2024")</f>
        <v/>
      </c>
      <c r="Y18">
        <f>HYPERLINK("https://klasma.github.io/Logging_1465/tillsynsmail/A 26712-2024 tillsynsbegäran mail.docx", "A 26712-2024")</f>
        <v/>
      </c>
    </row>
    <row r="19" ht="15" customHeight="1">
      <c r="A19" t="inlineStr">
        <is>
          <t>A 42900-2024</t>
        </is>
      </c>
      <c r="B19" s="1" t="n">
        <v>45566</v>
      </c>
      <c r="C19" s="1" t="n">
        <v>45712</v>
      </c>
      <c r="D19" t="inlineStr">
        <is>
          <t>VÄSTRA GÖTALANDS LÄN</t>
        </is>
      </c>
      <c r="E19" t="inlineStr">
        <is>
          <t>SVENLJUNGA</t>
        </is>
      </c>
      <c r="G19" t="n">
        <v>4.6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42900-2024 artfynd.xlsx", "A 42900-2024")</f>
        <v/>
      </c>
      <c r="T19">
        <f>HYPERLINK("https://klasma.github.io/Logging_1465/kartor/A 42900-2024 karta.png", "A 42900-2024")</f>
        <v/>
      </c>
      <c r="V19">
        <f>HYPERLINK("https://klasma.github.io/Logging_1465/klagomål/A 42900-2024 FSC-klagomål.docx", "A 42900-2024")</f>
        <v/>
      </c>
      <c r="W19">
        <f>HYPERLINK("https://klasma.github.io/Logging_1465/klagomålsmail/A 42900-2024 FSC-klagomål mail.docx", "A 42900-2024")</f>
        <v/>
      </c>
      <c r="X19">
        <f>HYPERLINK("https://klasma.github.io/Logging_1465/tillsyn/A 42900-2024 tillsynsbegäran.docx", "A 42900-2024")</f>
        <v/>
      </c>
      <c r="Y19">
        <f>HYPERLINK("https://klasma.github.io/Logging_1465/tillsynsmail/A 42900-2024 tillsynsbegäran mail.docx", "A 42900-2024")</f>
        <v/>
      </c>
    </row>
    <row r="20" ht="15" customHeight="1">
      <c r="A20" t="inlineStr">
        <is>
          <t>A 52369-2024</t>
        </is>
      </c>
      <c r="B20" s="1" t="n">
        <v>45609</v>
      </c>
      <c r="C20" s="1" t="n">
        <v>45712</v>
      </c>
      <c r="D20" t="inlineStr">
        <is>
          <t>VÄSTRA GÖTALANDS LÄN</t>
        </is>
      </c>
      <c r="E20" t="inlineStr">
        <is>
          <t>SVENLJUNGA</t>
        </is>
      </c>
      <c r="G20" t="n">
        <v>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HYPERLINK("https://klasma.github.io/Logging_1465/artfynd/A 52369-2024 artfynd.xlsx", "A 52369-2024")</f>
        <v/>
      </c>
      <c r="T20">
        <f>HYPERLINK("https://klasma.github.io/Logging_1465/kartor/A 52369-2024 karta.png", "A 52369-2024")</f>
        <v/>
      </c>
      <c r="V20">
        <f>HYPERLINK("https://klasma.github.io/Logging_1465/klagomål/A 52369-2024 FSC-klagomål.docx", "A 52369-2024")</f>
        <v/>
      </c>
      <c r="W20">
        <f>HYPERLINK("https://klasma.github.io/Logging_1465/klagomålsmail/A 52369-2024 FSC-klagomål mail.docx", "A 52369-2024")</f>
        <v/>
      </c>
      <c r="X20">
        <f>HYPERLINK("https://klasma.github.io/Logging_1465/tillsyn/A 52369-2024 tillsynsbegäran.docx", "A 52369-2024")</f>
        <v/>
      </c>
      <c r="Y20">
        <f>HYPERLINK("https://klasma.github.io/Logging_1465/tillsynsmail/A 52369-2024 tillsynsbegäran mail.docx", "A 52369-2024")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45712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45712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45712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45712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45712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45712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45712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45712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45712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45712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45712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45712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45712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45712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45712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45712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45712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45712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45712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45712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45712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45712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45712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45712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45712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45712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45712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45712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45712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45712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45712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45712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45712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45712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45712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45712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45712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45712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45712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45712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45712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45712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45712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45712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45712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45712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45712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45712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45712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45712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45712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45712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45712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45712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45712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45712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45712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45712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45712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45712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45712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45712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45712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45712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45712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45712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45712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45712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45712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45712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45712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45712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45712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45712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45712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45712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45712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45712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45712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45712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45712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45712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45712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45712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45712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45712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45712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45712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45712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45712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45712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45712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45712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45712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45712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45712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45712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45712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45712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45712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45712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45712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45712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45712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45712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45712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45712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45712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45712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45712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45712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45712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45712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45712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45712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45712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45712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45712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45712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45712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45712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45712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45712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45712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45712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45712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45712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45712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45712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45712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45712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45712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45712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45712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45712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45712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45712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45712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45712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45712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45712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45712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45712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45712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45712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45712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45712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45712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45712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45712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45712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45712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45712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45712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45712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45712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45712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45712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45712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45712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9246-2021</t>
        </is>
      </c>
      <c r="B181" s="1" t="n">
        <v>44250</v>
      </c>
      <c r="C181" s="1" t="n">
        <v>45712</v>
      </c>
      <c r="D181" t="inlineStr">
        <is>
          <t>VÄSTRA GÖTALANDS LÄN</t>
        </is>
      </c>
      <c r="E181" t="inlineStr">
        <is>
          <t>SVENLJUNGA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45712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45712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45712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45712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45712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45712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45712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45712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45712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45712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45712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45712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45712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45712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45712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45712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45712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45712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45712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45712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45712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45712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45712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45712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45712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45712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45712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45712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45712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45712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45712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45712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45712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45712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45712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45712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45712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45712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45712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45712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45712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45712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45712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45712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45712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45712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45712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45712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45712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45712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45712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45712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45712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45712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45712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45712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45712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45712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45712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45712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45712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45712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45712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45712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45712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45712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45712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45712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45712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45712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45712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45712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45712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45712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45712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45712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45712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45712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45712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45712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45712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45712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45712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45712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45712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45712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45712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45712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45712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45712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45712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45712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45712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45712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45712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45712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45712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45712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45712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45712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45712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45712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45712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45712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45712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45712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45712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45712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45712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45712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45712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45712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45712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45712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45712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45712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45712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45712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45712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45712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45712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45712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45712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45712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45712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45712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45712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45712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45712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45712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45712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45712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45712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45712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45712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45712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45712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45712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45712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45712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45712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45712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45712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45712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45712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45712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45712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45712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45712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45712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45712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45712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45712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45712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45712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45712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45712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45712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45712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45712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45712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45712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45712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45712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45712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45712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45712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45712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45712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45712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45712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45712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45712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45712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45712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45712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45712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45712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45712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45712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45712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45712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45712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45712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45712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45712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45712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45712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45712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45712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45712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45712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45712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45712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45712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45712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45712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45712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45712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45712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45712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45712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45712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45712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45712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45712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45712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45712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45712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45712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45712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45712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45712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45712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45712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45712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45712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45712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45712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45712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45712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45712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45712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45712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45712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45712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45712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45712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45712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45712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45712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45712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45712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45712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45712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45712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45712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45712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45712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45712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45712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45712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45712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45712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45712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45712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45712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45712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45712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45712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45712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45712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45712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45712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45712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45712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45712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45712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45712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45712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45712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45712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45712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45712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45712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45712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45712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45712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45712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45712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45712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45712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45712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45712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45712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45712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45712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45712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45712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45712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45712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45712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45712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45712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45712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45712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45712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45712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45712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45712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45712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45712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45712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45712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45712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45712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45712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45712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45712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45712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45712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45712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45712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45712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45712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45712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45712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45712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45712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45712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45712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45712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45712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45712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45712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45712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45712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45712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45712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45712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45712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45712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45712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45712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45712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45712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45712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45712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45712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45712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45712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45712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45712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45712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45712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45712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45712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45712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45712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45712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45712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45712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45712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45712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45712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45712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45712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45712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45712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45712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45712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45712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45712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45712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45712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45712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45712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45712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45712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45712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45712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45712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45712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45712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45712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45712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45712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45712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45712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45712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45712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45712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45712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45712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45712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45712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45712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45712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45712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45712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45712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45712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45712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45712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45712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45712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45712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45712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45712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45712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45712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45712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45712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45712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45712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45712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45712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45712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45712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45712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45712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45712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45712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45712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45712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45712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45712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45712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45712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45712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45712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45712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45712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45712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45712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45712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45712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45712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45712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45712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45712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45712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45712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45712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45712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45712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45712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45712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45712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45712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45712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45712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45712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45712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45712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45712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45712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45712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45712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45712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45712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45712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45712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45712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45712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45712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45712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45712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45712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45712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45712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45712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45712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45712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45712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45712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45712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45712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45712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45712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45712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45712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45712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45712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45712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45712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45712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45712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45712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45712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45712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45712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45712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45712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45712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45712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45712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45712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45712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45712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45712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45712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45712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45712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45712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45712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45712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45712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45712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45712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45712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45712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45712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45712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45712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45712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45712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45712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45712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45712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45712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45712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45712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45712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45712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45712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45712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45712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45712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45712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45712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45712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45712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45712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45712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45712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45712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45712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45712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45712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45712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45712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45712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45712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45712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45712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45712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45712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45712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45712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45712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45712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45712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45712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45712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45712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45712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45712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45712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45712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45712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45712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45712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45712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45712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45712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45712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45712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45712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45712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45712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45712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45712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45712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45712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45712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45712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45712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45712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45712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45712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45712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45712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45712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45712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45712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45712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45712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45712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45712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45712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45712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45712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45712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45712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45712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45712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45712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45712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45712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45712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45712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45712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45712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45712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45712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45712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45712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45712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45712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45712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45712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45712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45712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45712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45712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45712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45712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45712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45712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45712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45712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45712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45712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45712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45712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45712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45712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45712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45712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45712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45712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45712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45712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45712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45712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45712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45712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45712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45712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45712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45712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45712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45712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45712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45712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45712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45712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45712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45712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45712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45712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45712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45712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45712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45712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45712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45712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45712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45712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45712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45712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45712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45712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45712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45712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45712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45712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45712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45712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45712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45712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45712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45712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45712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45712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45712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45712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45712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45712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45712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45712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45712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45712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45712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45712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45712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45712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57241-2024</t>
        </is>
      </c>
      <c r="B850" s="1" t="n">
        <v>45629</v>
      </c>
      <c r="C850" s="1" t="n">
        <v>45712</v>
      </c>
      <c r="D850" t="inlineStr">
        <is>
          <t>VÄSTRA GÖTALANDS LÄN</t>
        </is>
      </c>
      <c r="E850" t="inlineStr">
        <is>
          <t>SVENLJUNGA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57281-2024</t>
        </is>
      </c>
      <c r="B851" s="1" t="n">
        <v>45629</v>
      </c>
      <c r="C851" s="1" t="n">
        <v>45712</v>
      </c>
      <c r="D851" t="inlineStr">
        <is>
          <t>VÄSTRA GÖTALANDS LÄN</t>
        </is>
      </c>
      <c r="E851" t="inlineStr">
        <is>
          <t>SVENLJUNGA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57600-2024</t>
        </is>
      </c>
      <c r="B852" s="1" t="n">
        <v>45630</v>
      </c>
      <c r="C852" s="1" t="n">
        <v>45712</v>
      </c>
      <c r="D852" t="inlineStr">
        <is>
          <t>VÄSTRA GÖTALANDS LÄN</t>
        </is>
      </c>
      <c r="E852" t="inlineStr">
        <is>
          <t>SVENLJUNGA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57598-2024</t>
        </is>
      </c>
      <c r="B853" s="1" t="n">
        <v>45630</v>
      </c>
      <c r="C853" s="1" t="n">
        <v>45712</v>
      </c>
      <c r="D853" t="inlineStr">
        <is>
          <t>VÄSTRA GÖTALANDS LÄN</t>
        </is>
      </c>
      <c r="E853" t="inlineStr">
        <is>
          <t>SVENLJUNGA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57732-2024</t>
        </is>
      </c>
      <c r="B854" s="1" t="n">
        <v>45630</v>
      </c>
      <c r="C854" s="1" t="n">
        <v>45712</v>
      </c>
      <c r="D854" t="inlineStr">
        <is>
          <t>VÄSTRA GÖTALANDS LÄN</t>
        </is>
      </c>
      <c r="E854" t="inlineStr">
        <is>
          <t>SVENLJUNGA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45712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45712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58905-2024</t>
        </is>
      </c>
      <c r="B857" s="1" t="n">
        <v>45636</v>
      </c>
      <c r="C857" s="1" t="n">
        <v>45712</v>
      </c>
      <c r="D857" t="inlineStr">
        <is>
          <t>VÄSTRA GÖTALANDS LÄN</t>
        </is>
      </c>
      <c r="E857" t="inlineStr">
        <is>
          <t>SVENLJUNGA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58909-2024</t>
        </is>
      </c>
      <c r="B858" s="1" t="n">
        <v>45636</v>
      </c>
      <c r="C858" s="1" t="n">
        <v>45712</v>
      </c>
      <c r="D858" t="inlineStr">
        <is>
          <t>VÄSTRA GÖTALANDS LÄN</t>
        </is>
      </c>
      <c r="E858" t="inlineStr">
        <is>
          <t>SVENLJUNGA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45712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45712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45712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45712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45712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61275-2024</t>
        </is>
      </c>
      <c r="B864" s="1" t="n">
        <v>45645</v>
      </c>
      <c r="C864" s="1" t="n">
        <v>45712</v>
      </c>
      <c r="D864" t="inlineStr">
        <is>
          <t>VÄSTRA GÖTALANDS LÄN</t>
        </is>
      </c>
      <c r="E864" t="inlineStr">
        <is>
          <t>SVENLJUNGA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45712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61274-2024</t>
        </is>
      </c>
      <c r="B866" s="1" t="n">
        <v>45645</v>
      </c>
      <c r="C866" s="1" t="n">
        <v>45712</v>
      </c>
      <c r="D866" t="inlineStr">
        <is>
          <t>VÄSTRA GÖTALANDS LÄN</t>
        </is>
      </c>
      <c r="E866" t="inlineStr">
        <is>
          <t>SVENLJUNGA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62027-2024</t>
        </is>
      </c>
      <c r="B867" s="1" t="n">
        <v>45656</v>
      </c>
      <c r="C867" s="1" t="n">
        <v>45712</v>
      </c>
      <c r="D867" t="inlineStr">
        <is>
          <t>VÄSTRA GÖTALANDS LÄN</t>
        </is>
      </c>
      <c r="E867" t="inlineStr">
        <is>
          <t>SVENLJUNGA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45712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62024-2024</t>
        </is>
      </c>
      <c r="B869" s="1" t="n">
        <v>45656</v>
      </c>
      <c r="C869" s="1" t="n">
        <v>45712</v>
      </c>
      <c r="D869" t="inlineStr">
        <is>
          <t>VÄSTRA GÖTALANDS LÄN</t>
        </is>
      </c>
      <c r="E869" t="inlineStr">
        <is>
          <t>SVENLJUNGA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62026-2024</t>
        </is>
      </c>
      <c r="B870" s="1" t="n">
        <v>45656</v>
      </c>
      <c r="C870" s="1" t="n">
        <v>45712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62172-2024</t>
        </is>
      </c>
      <c r="B871" s="1" t="n">
        <v>45657</v>
      </c>
      <c r="C871" s="1" t="n">
        <v>45712</v>
      </c>
      <c r="D871" t="inlineStr">
        <is>
          <t>VÄSTRA GÖTALANDS LÄN</t>
        </is>
      </c>
      <c r="E871" t="inlineStr">
        <is>
          <t>SVENLJUNGA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62173-2024</t>
        </is>
      </c>
      <c r="B872" s="1" t="n">
        <v>45657</v>
      </c>
      <c r="C872" s="1" t="n">
        <v>45712</v>
      </c>
      <c r="D872" t="inlineStr">
        <is>
          <t>VÄSTRA GÖTALANDS LÄN</t>
        </is>
      </c>
      <c r="E872" t="inlineStr">
        <is>
          <t>SVENLJUNGA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110-2025</t>
        </is>
      </c>
      <c r="B873" s="1" t="n">
        <v>45659</v>
      </c>
      <c r="C873" s="1" t="n">
        <v>45712</v>
      </c>
      <c r="D873" t="inlineStr">
        <is>
          <t>VÄSTRA GÖTALANDS LÄN</t>
        </is>
      </c>
      <c r="E873" t="inlineStr">
        <is>
          <t>SVENLJUNGA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1761-2025</t>
        </is>
      </c>
      <c r="B874" s="1" t="n">
        <v>45671</v>
      </c>
      <c r="C874" s="1" t="n">
        <v>45712</v>
      </c>
      <c r="D874" t="inlineStr">
        <is>
          <t>VÄSTRA GÖTALANDS LÄN</t>
        </is>
      </c>
      <c r="E874" t="inlineStr">
        <is>
          <t>SVENLJUNGA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3100-2025</t>
        </is>
      </c>
      <c r="B875" s="1" t="n">
        <v>45678</v>
      </c>
      <c r="C875" s="1" t="n">
        <v>45712</v>
      </c>
      <c r="D875" t="inlineStr">
        <is>
          <t>VÄSTRA GÖTALANDS LÄN</t>
        </is>
      </c>
      <c r="E875" t="inlineStr">
        <is>
          <t>SVENLJUNGA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2979-2025</t>
        </is>
      </c>
      <c r="B876" s="1" t="n">
        <v>45678</v>
      </c>
      <c r="C876" s="1" t="n">
        <v>45712</v>
      </c>
      <c r="D876" t="inlineStr">
        <is>
          <t>VÄSTRA GÖTALANDS LÄN</t>
        </is>
      </c>
      <c r="E876" t="inlineStr">
        <is>
          <t>SVENLJUNGA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3548-2025</t>
        </is>
      </c>
      <c r="B877" s="1" t="n">
        <v>45680</v>
      </c>
      <c r="C877" s="1" t="n">
        <v>45712</v>
      </c>
      <c r="D877" t="inlineStr">
        <is>
          <t>VÄSTRA GÖTALANDS LÄN</t>
        </is>
      </c>
      <c r="E877" t="inlineStr">
        <is>
          <t>SVENLJUNGA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4481-2025</t>
        </is>
      </c>
      <c r="B878" s="1" t="n">
        <v>45686</v>
      </c>
      <c r="C878" s="1" t="n">
        <v>45712</v>
      </c>
      <c r="D878" t="inlineStr">
        <is>
          <t>VÄSTRA GÖTALANDS LÄN</t>
        </is>
      </c>
      <c r="E878" t="inlineStr">
        <is>
          <t>SVENLJUNGA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4514-2025</t>
        </is>
      </c>
      <c r="B879" s="1" t="n">
        <v>45686</v>
      </c>
      <c r="C879" s="1" t="n">
        <v>45712</v>
      </c>
      <c r="D879" t="inlineStr">
        <is>
          <t>VÄSTRA GÖTALANDS LÄN</t>
        </is>
      </c>
      <c r="E879" t="inlineStr">
        <is>
          <t>SVENLJUNGA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4655-2025</t>
        </is>
      </c>
      <c r="B880" s="1" t="n">
        <v>45687</v>
      </c>
      <c r="C880" s="1" t="n">
        <v>45712</v>
      </c>
      <c r="D880" t="inlineStr">
        <is>
          <t>VÄSTRA GÖTALANDS LÄN</t>
        </is>
      </c>
      <c r="E880" t="inlineStr">
        <is>
          <t>SVENLJUNGA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4944-2025</t>
        </is>
      </c>
      <c r="B881" s="1" t="n">
        <v>45688</v>
      </c>
      <c r="C881" s="1" t="n">
        <v>45712</v>
      </c>
      <c r="D881" t="inlineStr">
        <is>
          <t>VÄSTRA GÖTALANDS LÄN</t>
        </is>
      </c>
      <c r="E881" t="inlineStr">
        <is>
          <t>SVENLJUNGA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5269-2025</t>
        </is>
      </c>
      <c r="B882" s="1" t="n">
        <v>45692</v>
      </c>
      <c r="C882" s="1" t="n">
        <v>45712</v>
      </c>
      <c r="D882" t="inlineStr">
        <is>
          <t>VÄSTRA GÖTALANDS LÄN</t>
        </is>
      </c>
      <c r="E882" t="inlineStr">
        <is>
          <t>SVENLJUNGA</t>
        </is>
      </c>
      <c r="F882" t="inlineStr">
        <is>
          <t>Kyrkan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5540-2025</t>
        </is>
      </c>
      <c r="B883" s="1" t="n">
        <v>45693</v>
      </c>
      <c r="C883" s="1" t="n">
        <v>45712</v>
      </c>
      <c r="D883" t="inlineStr">
        <is>
          <t>VÄSTRA GÖTALANDS LÄN</t>
        </is>
      </c>
      <c r="E883" t="inlineStr">
        <is>
          <t>SVENLJUNGA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5534-2025</t>
        </is>
      </c>
      <c r="B884" s="1" t="n">
        <v>45693</v>
      </c>
      <c r="C884" s="1" t="n">
        <v>45712</v>
      </c>
      <c r="D884" t="inlineStr">
        <is>
          <t>VÄSTRA GÖTALANDS LÄN</t>
        </is>
      </c>
      <c r="E884" t="inlineStr">
        <is>
          <t>SVENLJUNGA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5538-2025</t>
        </is>
      </c>
      <c r="B885" s="1" t="n">
        <v>45693</v>
      </c>
      <c r="C885" s="1" t="n">
        <v>45712</v>
      </c>
      <c r="D885" t="inlineStr">
        <is>
          <t>VÄSTRA GÖTALANDS LÄN</t>
        </is>
      </c>
      <c r="E885" t="inlineStr">
        <is>
          <t>SVENLJUNGA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5539-2025</t>
        </is>
      </c>
      <c r="B886" s="1" t="n">
        <v>45693</v>
      </c>
      <c r="C886" s="1" t="n">
        <v>45712</v>
      </c>
      <c r="D886" t="inlineStr">
        <is>
          <t>VÄSTRA GÖTALANDS LÄN</t>
        </is>
      </c>
      <c r="E886" t="inlineStr">
        <is>
          <t>SVENLJUNGA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6137-2025</t>
        </is>
      </c>
      <c r="B887" s="1" t="n">
        <v>45698</v>
      </c>
      <c r="C887" s="1" t="n">
        <v>45712</v>
      </c>
      <c r="D887" t="inlineStr">
        <is>
          <t>VÄSTRA GÖTALANDS LÄN</t>
        </is>
      </c>
      <c r="E887" t="inlineStr">
        <is>
          <t>SVENLJUNGA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6139-2025</t>
        </is>
      </c>
      <c r="B888" s="1" t="n">
        <v>45698</v>
      </c>
      <c r="C888" s="1" t="n">
        <v>45712</v>
      </c>
      <c r="D888" t="inlineStr">
        <is>
          <t>VÄSTRA GÖTALANDS LÄN</t>
        </is>
      </c>
      <c r="E888" t="inlineStr">
        <is>
          <t>SVENLJUNGA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6554-2025</t>
        </is>
      </c>
      <c r="B889" s="1" t="n">
        <v>45699</v>
      </c>
      <c r="C889" s="1" t="n">
        <v>45712</v>
      </c>
      <c r="D889" t="inlineStr">
        <is>
          <t>VÄSTRA GÖTALANDS LÄN</t>
        </is>
      </c>
      <c r="E889" t="inlineStr">
        <is>
          <t>SVENLJUNGA</t>
        </is>
      </c>
      <c r="F889" t="inlineStr">
        <is>
          <t>Kommuner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6663-2025</t>
        </is>
      </c>
      <c r="B890" s="1" t="n">
        <v>45700</v>
      </c>
      <c r="C890" s="1" t="n">
        <v>45712</v>
      </c>
      <c r="D890" t="inlineStr">
        <is>
          <t>VÄSTRA GÖTALANDS LÄN</t>
        </is>
      </c>
      <c r="E890" t="inlineStr">
        <is>
          <t>SVENLJUNGA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7018-2025</t>
        </is>
      </c>
      <c r="B891" s="1" t="n">
        <v>45701</v>
      </c>
      <c r="C891" s="1" t="n">
        <v>45712</v>
      </c>
      <c r="D891" t="inlineStr">
        <is>
          <t>VÄSTRA GÖTALANDS LÄN</t>
        </is>
      </c>
      <c r="E891" t="inlineStr">
        <is>
          <t>SVENLJUNGA</t>
        </is>
      </c>
      <c r="F891" t="inlineStr">
        <is>
          <t>Sveaskog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6863-2025</t>
        </is>
      </c>
      <c r="B892" s="1" t="n">
        <v>45701</v>
      </c>
      <c r="C892" s="1" t="n">
        <v>45712</v>
      </c>
      <c r="D892" t="inlineStr">
        <is>
          <t>VÄSTRA GÖTALANDS LÄN</t>
        </is>
      </c>
      <c r="E892" t="inlineStr">
        <is>
          <t>SVENLJUNGA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7127-2025</t>
        </is>
      </c>
      <c r="B893" s="1" t="n">
        <v>45702</v>
      </c>
      <c r="C893" s="1" t="n">
        <v>45712</v>
      </c>
      <c r="D893" t="inlineStr">
        <is>
          <t>VÄSTRA GÖTALANDS LÄN</t>
        </is>
      </c>
      <c r="E893" t="inlineStr">
        <is>
          <t>SVENLJUNGA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7607-2025</t>
        </is>
      </c>
      <c r="B894" s="1" t="n">
        <v>45705</v>
      </c>
      <c r="C894" s="1" t="n">
        <v>45712</v>
      </c>
      <c r="D894" t="inlineStr">
        <is>
          <t>VÄSTRA GÖTALANDS LÄN</t>
        </is>
      </c>
      <c r="E894" t="inlineStr">
        <is>
          <t>SVENLJUNGA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7610-2025</t>
        </is>
      </c>
      <c r="B895" s="1" t="n">
        <v>45705</v>
      </c>
      <c r="C895" s="1" t="n">
        <v>45712</v>
      </c>
      <c r="D895" t="inlineStr">
        <is>
          <t>VÄSTRA GÖTALANDS LÄN</t>
        </is>
      </c>
      <c r="E895" t="inlineStr">
        <is>
          <t>SVENLJUNGA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>
      <c r="A896" t="inlineStr">
        <is>
          <t>A 8568-2025</t>
        </is>
      </c>
      <c r="B896" s="1" t="n">
        <v>45709</v>
      </c>
      <c r="C896" s="1" t="n">
        <v>45712</v>
      </c>
      <c r="D896" t="inlineStr">
        <is>
          <t>VÄSTRA GÖTALANDS LÄN</t>
        </is>
      </c>
      <c r="E896" t="inlineStr">
        <is>
          <t>SVENLJUNGA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2025-02-24T17:03:43Z</dcterms:created>
  <dcterms:modified xmlns:dcterms="http://purl.org/dc/terms/" xmlns:xsi="http://www.w3.org/2001/XMLSchema-instance" xsi:type="dcterms:W3CDTF">2025-02-24T17:03:43Z</dcterms:modified>
</cp:coreProperties>
</file>