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46326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46326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46326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46326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46326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46326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30771-2022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44764</v>
      </c>
      <c r="E13" s="1" t="n">
        <v>46326</v>
      </c>
      <c r="F13" t="inlineStr">
        <is>
          <t>VÄSTRA GÖTALANDS LÄN</t>
        </is>
      </c>
      <c r="G13" t="inlineStr">
        <is>
          <t>SVENLJUNGA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Grynig filtlav</t>
        </is>
      </c>
      <c r="W13">
        <f>HYPERLINK("https://klasma.github.io/Logging_1465/artfynd/A 30771-2022 artfynd.xlsx", "A 30771-2022")</f>
        <v/>
      </c>
      <c r="X13">
        <f>HYPERLINK("https://klasma.github.io/Logging_1465/kartor/A 30771-2022 karta.png", "A 30771-2022")</f>
        <v/>
      </c>
      <c r="Y13">
        <f>HYPERLINK("https://klasma.github.io/Logging_1465/kartor_geotiff/A 30771-2022 georefererad karta.tif", "A 30771-2022")</f>
        <v/>
      </c>
      <c r="AA13">
        <f>HYPERLINK("https://klasma.github.io/Logging_1465/klagomål/A 30771-2022 FSC-klagomål.docx", "A 30771-2022")</f>
        <v/>
      </c>
      <c r="AB13">
        <f>HYPERLINK("https://klasma.github.io/Logging_1465/klagomålsmail/A 30771-2022 FSC-klagomål mail.docx", "A 30771-2022")</f>
        <v/>
      </c>
      <c r="AC13">
        <f>HYPERLINK("https://klasma.github.io/Logging_1465/tillsyn/A 30771-2022 tillsynsbegäran.docx", "A 30771-2022")</f>
        <v/>
      </c>
      <c r="AD13">
        <f>HYPERLINK("https://klasma.github.io/Logging_1465/tillsynsmail/A 30771-2022 tillsynsbegäran mail.docx", "A 30771-2022")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46326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46326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46326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12658-2025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46326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HYPERLINK("https://klasma.github.io/Logging_1465/artfynd/A 12658-2025 artfynd.xlsx", "A 12658-2025")</f>
        <v/>
      </c>
      <c r="X17">
        <f>HYPERLINK("https://klasma.github.io/Logging_1465/kartor/A 12658-2025 karta.png", "A 12658-2025")</f>
        <v/>
      </c>
      <c r="Y17">
        <f>HYPERLINK("https://klasma.github.io/Logging_1465/kartor_geotiff/A 12658-2025 georefererad karta.tif", "A 12658-2025")</f>
        <v/>
      </c>
      <c r="AA17">
        <f>HYPERLINK("https://klasma.github.io/Logging_1465/klagomål/A 12658-2025 FSC-klagomål.docx", "A 12658-2025")</f>
        <v/>
      </c>
      <c r="AB17">
        <f>HYPERLINK("https://klasma.github.io/Logging_1465/klagomålsmail/A 12658-2025 FSC-klagomål mail.docx", "A 12658-2025")</f>
        <v/>
      </c>
      <c r="AC17">
        <f>HYPERLINK("https://klasma.github.io/Logging_1465/tillsyn/A 12658-2025 tillsynsbegäran.docx", "A 12658-2025")</f>
        <v/>
      </c>
      <c r="AD17">
        <f>HYPERLINK("https://klasma.github.io/Logging_1465/tillsynsmail/A 12658-2025 tillsynsbegäran mail.docx", "A 12658-2025")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46326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46326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Bårdlav</t>
        </is>
      </c>
      <c r="W19">
        <f>HYPERLINK("https://klasma.github.io/Logging_1465/artfynd/A 62149-2025 artfynd.xlsx", "A 62149-2025")</f>
        <v/>
      </c>
      <c r="X19">
        <f>HYPERLINK("https://klasma.github.io/Logging_1465/kartor/A 62149-2025 karta.png", "A 62149-2025")</f>
        <v/>
      </c>
      <c r="Y19">
        <f>HYPERLINK("https://klasma.github.io/Logging_1465/kartor_geotiff/A 62149-2025 georefererad karta.tif", "A 62149-2025")</f>
        <v/>
      </c>
      <c r="AA19">
        <f>HYPERLINK("https://klasma.github.io/Logging_1465/klagomål/A 62149-2025 FSC-klagomål.docx", "A 62149-2025")</f>
        <v/>
      </c>
      <c r="AB19">
        <f>HYPERLINK("https://klasma.github.io/Logging_1465/klagomålsmail/A 62149-2025 FSC-klagomål mail.docx", "A 62149-2025")</f>
        <v/>
      </c>
      <c r="AC19">
        <f>HYPERLINK("https://klasma.github.io/Logging_1465/tillsyn/A 62149-2025 tillsynsbegäran.docx", "A 62149-2025")</f>
        <v/>
      </c>
      <c r="AD19">
        <f>HYPERLINK("https://klasma.github.io/Logging_1465/tillsynsmail/A 62149-2025 tillsynsbegäran mail.docx", "A 62149-2025")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46326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46326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16061-2025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46326</v>
      </c>
      <c r="F22" t="inlineStr">
        <is>
          <t>VÄSTRA GÖTALANDS LÄN</t>
        </is>
      </c>
      <c r="G22" t="inlineStr">
        <is>
          <t>SVENLJUNGA</t>
        </is>
      </c>
      <c r="I22" t="n">
        <v>1.9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Slåttergubbe</t>
        </is>
      </c>
      <c r="W22">
        <f>HYPERLINK("https://klasma.github.io/Logging_1465/artfynd/A 16061-2025 artfynd.xlsx", "A 16061-2025")</f>
        <v/>
      </c>
      <c r="X22">
        <f>HYPERLINK("https://klasma.github.io/Logging_1465/kartor/A 16061-2025 karta.png", "A 16061-2025")</f>
        <v/>
      </c>
      <c r="Y22">
        <f>HYPERLINK("https://klasma.github.io/Logging_1465/kartor_geotiff/A 16061-2025 georefererad karta.tif", "A 16061-2025")</f>
        <v/>
      </c>
      <c r="AA22">
        <f>HYPERLINK("https://klasma.github.io/Logging_1465/klagomål/A 16061-2025 FSC-klagomål.docx", "A 16061-2025")</f>
        <v/>
      </c>
      <c r="AB22">
        <f>HYPERLINK("https://klasma.github.io/Logging_1465/klagomålsmail/A 16061-2025 FSC-klagomål mail.docx", "A 16061-2025")</f>
        <v/>
      </c>
      <c r="AC22">
        <f>HYPERLINK("https://klasma.github.io/Logging_1465/tillsyn/A 16061-2025 tillsynsbegäran.docx", "A 16061-2025")</f>
        <v/>
      </c>
      <c r="AD22">
        <f>HYPERLINK("https://klasma.github.io/Logging_1465/tillsynsmail/A 16061-2025 tillsynsbegäran mail.docx", "A 16061-2025")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46326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46326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S 2813-2022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46326</v>
      </c>
      <c r="F25" t="inlineStr">
        <is>
          <t>VÄSTRA GÖTALANDS LÄN</t>
        </is>
      </c>
      <c r="G25" t="inlineStr">
        <is>
          <t>SVENLJUNGA</t>
        </is>
      </c>
      <c r="H25" t="inlineStr">
        <is>
          <t>Kyrkan</t>
        </is>
      </c>
      <c r="I25" t="n">
        <v>69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HYPERLINK("https://klasma.github.io/Logging_1465/artfynd/S 2813-2022 artfynd.xlsx", "S 2813-2022")</f>
        <v/>
      </c>
      <c r="X25">
        <f>HYPERLINK("https://klasma.github.io/Logging_1465/kartor/S 2813-2022 karta.png", "S 2813-2022")</f>
        <v/>
      </c>
      <c r="Y25">
        <f>HYPERLINK("https://klasma.github.io/Logging_1465/kartor_geotiff/S 2813-2022 georefererad karta.tif", "S 2813-2022")</f>
        <v/>
      </c>
      <c r="AA25">
        <f>HYPERLINK("https://klasma.github.io/Logging_1465/klagomål/S 2813-2022 FSC-klagomål.docx", "S 2813-2022")</f>
        <v/>
      </c>
      <c r="AB25">
        <f>HYPERLINK("https://klasma.github.io/Logging_1465/klagomålsmail/S 2813-2022 FSC-klagomål mail.docx", "S 2813-2022")</f>
        <v/>
      </c>
      <c r="AC25">
        <f>HYPERLINK("https://klasma.github.io/Logging_1465/tillsyn/S 2813-2022 tillsynsbegäran.docx", "S 2813-2022")</f>
        <v/>
      </c>
      <c r="AD25">
        <f>HYPERLINK("https://klasma.github.io/Logging_1465/tillsynsmail/S 2813-2022 tillsynsbegäran mail.docx", "S 2813-2022")</f>
        <v/>
      </c>
    </row>
    <row r="26" ht="15" customHeight="1">
      <c r="A26" t="inlineStr">
        <is>
          <t>S 2818-2022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46326</v>
      </c>
      <c r="F26" t="inlineStr">
        <is>
          <t>VÄSTRA GÖTALANDS LÄN</t>
        </is>
      </c>
      <c r="G26" t="inlineStr">
        <is>
          <t>SVENLJUNGA</t>
        </is>
      </c>
      <c r="I26" t="n">
        <v>40.8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HYPERLINK("https://klasma.github.io/Logging_1465/artfynd/S 2818-2022 artfynd.xlsx", "S 2818-2022")</f>
        <v/>
      </c>
      <c r="X26">
        <f>HYPERLINK("https://klasma.github.io/Logging_1465/kartor/S 2818-2022 karta.png", "S 2818-2022")</f>
        <v/>
      </c>
      <c r="Y26">
        <f>HYPERLINK("https://klasma.github.io/Logging_1465/kartor_geotiff/S 2818-2022 georefererad karta.tif", "S 2818-2022")</f>
        <v/>
      </c>
      <c r="AA26">
        <f>HYPERLINK("https://klasma.github.io/Logging_1465/klagomål/S 2818-2022 FSC-klagomål.docx", "S 2818-2022")</f>
        <v/>
      </c>
      <c r="AB26">
        <f>HYPERLINK("https://klasma.github.io/Logging_1465/klagomålsmail/S 2818-2022 FSC-klagomål mail.docx", "S 2818-2022")</f>
        <v/>
      </c>
      <c r="AC26">
        <f>HYPERLINK("https://klasma.github.io/Logging_1465/tillsyn/S 2818-2022 tillsynsbegäran.docx", "S 2818-2022")</f>
        <v/>
      </c>
      <c r="AD26">
        <f>HYPERLINK("https://klasma.github.io/Logging_1465/tillsynsmail/S 2818-2022 tillsynsbegäran mail.docx", "S 2818-2022")</f>
        <v/>
      </c>
    </row>
    <row r="27" ht="15" customHeight="1">
      <c r="A27" t="inlineStr">
        <is>
          <t>S 540-2023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44972</v>
      </c>
      <c r="E27" s="1" t="n">
        <v>46326</v>
      </c>
      <c r="F27" t="inlineStr">
        <is>
          <t>VÄSTRA GÖTALANDS LÄN</t>
        </is>
      </c>
      <c r="G27" t="inlineStr">
        <is>
          <t>SVENLJUNGA</t>
        </is>
      </c>
      <c r="I27" t="n">
        <v>7.7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HYPERLINK("https://klasma.github.io/Logging_1465/artfynd/S 540-2023 artfynd.xlsx", "S 540-2023")</f>
        <v/>
      </c>
      <c r="X27">
        <f>HYPERLINK("https://klasma.github.io/Logging_1465/kartor/S 540-2023 karta.png", "S 540-2023")</f>
        <v/>
      </c>
      <c r="Y27">
        <f>HYPERLINK("https://klasma.github.io/Logging_1465/kartor_geotiff/S 540-2023 georefererad karta.tif", "S 540-2023")</f>
        <v/>
      </c>
      <c r="AA27">
        <f>HYPERLINK("https://klasma.github.io/Logging_1465/klagomål/S 540-2023 FSC-klagomål.docx", "S 540-2023")</f>
        <v/>
      </c>
      <c r="AB27">
        <f>HYPERLINK("https://klasma.github.io/Logging_1465/klagomålsmail/S 540-2023 FSC-klagomål mail.docx", "S 540-2023")</f>
        <v/>
      </c>
      <c r="AC27">
        <f>HYPERLINK("https://klasma.github.io/Logging_1465/tillsyn/S 540-2023 tillsynsbegäran.docx", "S 540-2023")</f>
        <v/>
      </c>
      <c r="AD27">
        <f>HYPERLINK("https://klasma.github.io/Logging_1465/tillsynsmail/S 540-2023 tillsynsbegäran mail.docx", "S 540-2023")</f>
        <v/>
      </c>
    </row>
    <row r="28" ht="15" customHeight="1">
      <c r="A28" t="inlineStr">
        <is>
          <t>S 1502-2024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45422</v>
      </c>
      <c r="E28" s="1" t="n">
        <v>46326</v>
      </c>
      <c r="F28" t="inlineStr">
        <is>
          <t>VÄSTRA GÖTALANDS LÄN</t>
        </is>
      </c>
      <c r="G28" t="inlineStr">
        <is>
          <t>SVENLJUNGA</t>
        </is>
      </c>
      <c r="I28" t="n">
        <v>12.2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HYPERLINK("https://klasma.github.io/Logging_1465/artfynd/S 1502-2024 artfynd.xlsx", "S 1502-2024")</f>
        <v/>
      </c>
      <c r="X28">
        <f>HYPERLINK("https://klasma.github.io/Logging_1465/kartor/S 1502-2024 karta.png", "S 1502-2024")</f>
        <v/>
      </c>
      <c r="Y28">
        <f>HYPERLINK("https://klasma.github.io/Logging_1465/kartor_geotiff/S 1502-2024 georefererad karta.tif", "S 1502-2024")</f>
        <v/>
      </c>
      <c r="AA28">
        <f>HYPERLINK("https://klasma.github.io/Logging_1465/klagomål/S 1502-2024 FSC-klagomål.docx", "S 1502-2024")</f>
        <v/>
      </c>
      <c r="AB28">
        <f>HYPERLINK("https://klasma.github.io/Logging_1465/klagomålsmail/S 1502-2024 FSC-klagomål mail.docx", "S 1502-2024")</f>
        <v/>
      </c>
      <c r="AC28">
        <f>HYPERLINK("https://klasma.github.io/Logging_1465/tillsyn/S 1502-2024 tillsynsbegäran.docx", "S 1502-2024")</f>
        <v/>
      </c>
      <c r="AD28">
        <f>HYPERLINK("https://klasma.github.io/Logging_1465/tillsynsmail/S 1502-2024 tillsynsbegäran mail.docx", "S 1502-2024")</f>
        <v/>
      </c>
    </row>
    <row r="29" ht="15" customHeight="1">
      <c r="A29" t="inlineStr">
        <is>
          <t>S 479-2023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44969</v>
      </c>
      <c r="E29" s="1" t="n">
        <v>46326</v>
      </c>
      <c r="F29" t="inlineStr">
        <is>
          <t>VÄSTRA GÖTALANDS LÄN</t>
        </is>
      </c>
      <c r="G29" t="inlineStr">
        <is>
          <t>SVENLJUNGA</t>
        </is>
      </c>
      <c r="I29" t="n">
        <v>52.1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1</v>
      </c>
      <c r="V29" s="2" t="inlineStr">
        <is>
          <t>Borsttåg</t>
        </is>
      </c>
      <c r="W29">
        <f>HYPERLINK("https://klasma.github.io/Logging_1465/artfynd/S 479-2023 artfynd.xlsx", "S 479-2023")</f>
        <v/>
      </c>
      <c r="X29">
        <f>HYPERLINK("https://klasma.github.io/Logging_1465/kartor/S 479-2023 karta.png", "S 479-2023")</f>
        <v/>
      </c>
      <c r="Y29">
        <f>HYPERLINK("https://klasma.github.io/Logging_1465/kartor_geotiff/S 479-2023 georefererad karta.tif", "S 479-2023")</f>
        <v/>
      </c>
      <c r="AA29">
        <f>HYPERLINK("https://klasma.github.io/Logging_1465/klagomål/S 479-2023 FSC-klagomål.docx", "S 479-2023")</f>
        <v/>
      </c>
      <c r="AB29">
        <f>HYPERLINK("https://klasma.github.io/Logging_1465/klagomålsmail/S 479-2023 FSC-klagomål mail.docx", "S 479-2023")</f>
        <v/>
      </c>
      <c r="AC29">
        <f>HYPERLINK("https://klasma.github.io/Logging_1465/tillsyn/S 479-2023 tillsynsbegäran.docx", "S 479-2023")</f>
        <v/>
      </c>
      <c r="AD29">
        <f>HYPERLINK("https://klasma.github.io/Logging_1465/tillsynsmail/S 479-2023 tillsynsbegäran mail.docx", "S 479-2023")</f>
        <v/>
      </c>
    </row>
    <row r="30" ht="15" customHeight="1">
      <c r="A30" t="inlineStr">
        <is>
          <t>A 61629-2021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46326</v>
      </c>
      <c r="F30" t="inlineStr">
        <is>
          <t>VÄSTRA GÖTALANDS LÄN</t>
        </is>
      </c>
      <c r="G30" t="inlineStr">
        <is>
          <t>SVENLJUNGA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46326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46326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46326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46326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46326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46326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46326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46326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46326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46326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46326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46326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69871-2021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44532</v>
      </c>
      <c r="E43" s="1" t="n">
        <v>46326</v>
      </c>
      <c r="F43" t="inlineStr">
        <is>
          <t>VÄSTRA GÖTALANDS LÄN</t>
        </is>
      </c>
      <c r="G43" t="inlineStr">
        <is>
          <t>SVENLJUNGA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44706</v>
      </c>
      <c r="E44" s="1" t="n">
        <v>46326</v>
      </c>
      <c r="F44" t="inlineStr">
        <is>
          <t>VÄSTRA GÖTALANDS LÄN</t>
        </is>
      </c>
      <c r="G44" t="inlineStr">
        <is>
          <t>SVENLJUNGA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44725</v>
      </c>
      <c r="E45" s="1" t="n">
        <v>46326</v>
      </c>
      <c r="F45" t="inlineStr">
        <is>
          <t>VÄSTRA GÖTALANDS LÄN</t>
        </is>
      </c>
      <c r="G45" t="inlineStr">
        <is>
          <t>SVENLJUNGA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66018-2021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46326</v>
      </c>
      <c r="F46" t="inlineStr">
        <is>
          <t>VÄSTRA GÖTALANDS LÄN</t>
        </is>
      </c>
      <c r="G46" t="inlineStr">
        <is>
          <t>SVENLJUNGA</t>
        </is>
      </c>
      <c r="I46" t="n">
        <v>10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19245-2022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44692</v>
      </c>
      <c r="E47" s="1" t="n">
        <v>46326</v>
      </c>
      <c r="F47" t="inlineStr">
        <is>
          <t>VÄSTRA GÖTALANDS LÄN</t>
        </is>
      </c>
      <c r="G47" t="inlineStr">
        <is>
          <t>SVENLJUNGA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8278-2022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46326</v>
      </c>
      <c r="F48" t="inlineStr">
        <is>
          <t>VÄSTRA GÖTALANDS LÄN</t>
        </is>
      </c>
      <c r="G48" t="inlineStr">
        <is>
          <t>SVENLJUNGA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9386-2022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46326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46326</v>
      </c>
      <c r="F50" t="inlineStr">
        <is>
          <t>VÄSTRA GÖTALANDS LÄN</t>
        </is>
      </c>
      <c r="G50" t="inlineStr">
        <is>
          <t>SVENLJUNGA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46326</v>
      </c>
      <c r="F51" t="inlineStr">
        <is>
          <t>VÄSTRA GÖTALANDS LÄN</t>
        </is>
      </c>
      <c r="G51" t="inlineStr">
        <is>
          <t>SVENLJUNGA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46326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44524</v>
      </c>
      <c r="E53" s="1" t="n">
        <v>46326</v>
      </c>
      <c r="F53" t="inlineStr">
        <is>
          <t>VÄSTRA GÖTALANDS LÄN</t>
        </is>
      </c>
      <c r="G53" t="inlineStr">
        <is>
          <t>SVENLJUNGA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46326</v>
      </c>
      <c r="F54" t="inlineStr">
        <is>
          <t>VÄSTRA GÖTALANDS LÄN</t>
        </is>
      </c>
      <c r="G54" t="inlineStr">
        <is>
          <t>SVENLJUNGA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33675-2022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44789</v>
      </c>
      <c r="E55" s="1" t="n">
        <v>46326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46326</v>
      </c>
      <c r="F56" t="inlineStr">
        <is>
          <t>VÄSTRA GÖTALANDS LÄN</t>
        </is>
      </c>
      <c r="G56" t="inlineStr">
        <is>
          <t>SVENLJUNGA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69092-2021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44530</v>
      </c>
      <c r="E57" s="1" t="n">
        <v>46326</v>
      </c>
      <c r="F57" t="inlineStr">
        <is>
          <t>VÄSTRA GÖTALANDS LÄN</t>
        </is>
      </c>
      <c r="G57" t="inlineStr">
        <is>
          <t>SVENLJUNGA</t>
        </is>
      </c>
      <c r="H57" t="inlineStr">
        <is>
          <t>Kommuner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46326</v>
      </c>
      <c r="F58" t="inlineStr">
        <is>
          <t>VÄSTRA GÖTALANDS LÄN</t>
        </is>
      </c>
      <c r="G58" t="inlineStr">
        <is>
          <t>SVENLJUNGA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46326</v>
      </c>
      <c r="F59" t="inlineStr">
        <is>
          <t>VÄSTRA GÖTALANDS LÄN</t>
        </is>
      </c>
      <c r="G59" t="inlineStr">
        <is>
          <t>SVENLJUNGA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46326</v>
      </c>
      <c r="F60" t="inlineStr">
        <is>
          <t>VÄSTRA GÖTALANDS LÄN</t>
        </is>
      </c>
      <c r="G60" t="inlineStr">
        <is>
          <t>SVENLJUNGA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46326</v>
      </c>
      <c r="F61" t="inlineStr">
        <is>
          <t>VÄSTRA GÖTALANDS LÄN</t>
        </is>
      </c>
      <c r="G61" t="inlineStr">
        <is>
          <t>SVENLJUNGA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54650-2022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44883</v>
      </c>
      <c r="E62" s="1" t="n">
        <v>46326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46326</v>
      </c>
      <c r="F63" t="inlineStr">
        <is>
          <t>VÄSTRA GÖTALANDS LÄN</t>
        </is>
      </c>
      <c r="G63" t="inlineStr">
        <is>
          <t>SVENLJUNGA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46326</v>
      </c>
      <c r="F64" t="inlineStr">
        <is>
          <t>VÄSTRA GÖTALANDS LÄN</t>
        </is>
      </c>
      <c r="G64" t="inlineStr">
        <is>
          <t>SVENLJUNGA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65072-2021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46326</v>
      </c>
      <c r="F65" t="inlineStr">
        <is>
          <t>VÄSTRA GÖTALANDS LÄN</t>
        </is>
      </c>
      <c r="G65" t="inlineStr">
        <is>
          <t>SVENLJUNGA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46326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12419-2022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44638</v>
      </c>
      <c r="E67" s="1" t="n">
        <v>46326</v>
      </c>
      <c r="F67" t="inlineStr">
        <is>
          <t>VÄSTRA GÖTALANDS LÄN</t>
        </is>
      </c>
      <c r="G67" t="inlineStr">
        <is>
          <t>SVENLJUNGA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46326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46326</v>
      </c>
      <c r="F69" t="inlineStr">
        <is>
          <t>VÄSTRA GÖTALANDS LÄN</t>
        </is>
      </c>
      <c r="G69" t="inlineStr">
        <is>
          <t>SVENLJUNGA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44658</v>
      </c>
      <c r="E70" s="1" t="n">
        <v>46326</v>
      </c>
      <c r="F70" t="inlineStr">
        <is>
          <t>VÄSTRA GÖTALANDS LÄN</t>
        </is>
      </c>
      <c r="G70" t="inlineStr">
        <is>
          <t>SVENLJUNGA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46326</v>
      </c>
      <c r="F71" t="inlineStr">
        <is>
          <t>VÄSTRA GÖTALANDS LÄN</t>
        </is>
      </c>
      <c r="G71" t="inlineStr">
        <is>
          <t>SVENLJUNGA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46326</v>
      </c>
      <c r="F72" t="inlineStr">
        <is>
          <t>VÄSTRA GÖTALANDS LÄN</t>
        </is>
      </c>
      <c r="G72" t="inlineStr">
        <is>
          <t>SVENLJUNGA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46326</v>
      </c>
      <c r="F73" t="inlineStr">
        <is>
          <t>VÄSTRA GÖTALANDS LÄN</t>
        </is>
      </c>
      <c r="G73" t="inlineStr">
        <is>
          <t>SVENLJUNGA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44859</v>
      </c>
      <c r="E74" s="1" t="n">
        <v>46326</v>
      </c>
      <c r="F74" t="inlineStr">
        <is>
          <t>VÄSTRA GÖTALANDS LÄN</t>
        </is>
      </c>
      <c r="G74" t="inlineStr">
        <is>
          <t>SVENLJUNGA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46326</v>
      </c>
      <c r="F75" t="inlineStr">
        <is>
          <t>VÄSTRA GÖTALANDS LÄN</t>
        </is>
      </c>
      <c r="G75" t="inlineStr">
        <is>
          <t>SVENLJUNGA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46326</v>
      </c>
      <c r="F76" t="inlineStr">
        <is>
          <t>VÄSTRA GÖTALANDS LÄN</t>
        </is>
      </c>
      <c r="G76" t="inlineStr">
        <is>
          <t>SVENLJUNGA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46326</v>
      </c>
      <c r="F77" t="inlineStr">
        <is>
          <t>VÄSTRA GÖTALANDS LÄN</t>
        </is>
      </c>
      <c r="G77" t="inlineStr">
        <is>
          <t>SVENLJUNGA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44902</v>
      </c>
      <c r="E78" s="1" t="n">
        <v>46326</v>
      </c>
      <c r="F78" t="inlineStr">
        <is>
          <t>VÄSTRA GÖTALANDS LÄN</t>
        </is>
      </c>
      <c r="G78" t="inlineStr">
        <is>
          <t>SVENLJUNGA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46326</v>
      </c>
      <c r="F79" t="inlineStr">
        <is>
          <t>VÄSTRA GÖTALANDS LÄN</t>
        </is>
      </c>
      <c r="G79" t="inlineStr">
        <is>
          <t>SVENLJUNGA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46326</v>
      </c>
      <c r="F80" t="inlineStr">
        <is>
          <t>VÄSTRA GÖTALANDS LÄN</t>
        </is>
      </c>
      <c r="G80" t="inlineStr">
        <is>
          <t>SVENLJUNGA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46326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16770-2024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46326</v>
      </c>
      <c r="F82" t="inlineStr">
        <is>
          <t>VÄSTRA GÖTALANDS LÄN</t>
        </is>
      </c>
      <c r="G82" t="inlineStr">
        <is>
          <t>SVENLJUNGA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46326</v>
      </c>
      <c r="F83" t="inlineStr">
        <is>
          <t>VÄSTRA GÖTALANDS LÄN</t>
        </is>
      </c>
      <c r="G83" t="inlineStr">
        <is>
          <t>SVENLJUNGA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46326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46326</v>
      </c>
      <c r="F85" t="inlineStr">
        <is>
          <t>VÄSTRA GÖTALANDS LÄN</t>
        </is>
      </c>
      <c r="G85" t="inlineStr">
        <is>
          <t>SVENLJUNGA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46326</v>
      </c>
      <c r="F86" t="inlineStr">
        <is>
          <t>VÄSTRA GÖTALANDS LÄN</t>
        </is>
      </c>
      <c r="G86" t="inlineStr">
        <is>
          <t>SVENLJUNGA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46326</v>
      </c>
      <c r="F87" t="inlineStr">
        <is>
          <t>VÄSTRA GÖTALANDS LÄN</t>
        </is>
      </c>
      <c r="G87" t="inlineStr">
        <is>
          <t>SVENLJUNGA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46326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46326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52629-2024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45610</v>
      </c>
      <c r="E90" s="1" t="n">
        <v>46326</v>
      </c>
      <c r="F90" t="inlineStr">
        <is>
          <t>VÄSTRA GÖTALANDS LÄN</t>
        </is>
      </c>
      <c r="G90" t="inlineStr">
        <is>
          <t>SVENLJUNGA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45021</v>
      </c>
      <c r="E91" s="1" t="n">
        <v>46326</v>
      </c>
      <c r="F91" t="inlineStr">
        <is>
          <t>VÄSTRA GÖTALANDS LÄN</t>
        </is>
      </c>
      <c r="G91" t="inlineStr">
        <is>
          <t>SVENLJUNGA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46326</v>
      </c>
      <c r="F92" t="inlineStr">
        <is>
          <t>VÄSTRA GÖTALANDS LÄN</t>
        </is>
      </c>
      <c r="G92" t="inlineStr">
        <is>
          <t>SVENLJUNGA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46326</v>
      </c>
      <c r="F93" t="inlineStr">
        <is>
          <t>VÄSTRA GÖTALANDS LÄN</t>
        </is>
      </c>
      <c r="G93" t="inlineStr">
        <is>
          <t>SVENLJUNGA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46326</v>
      </c>
      <c r="F94" t="inlineStr">
        <is>
          <t>VÄSTRA GÖTALANDS LÄN</t>
        </is>
      </c>
      <c r="G94" t="inlineStr">
        <is>
          <t>SVENLJUNGA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45361</v>
      </c>
      <c r="E95" s="1" t="n">
        <v>46326</v>
      </c>
      <c r="F95" t="inlineStr">
        <is>
          <t>VÄSTRA GÖTALANDS LÄN</t>
        </is>
      </c>
      <c r="G95" t="inlineStr">
        <is>
          <t>SVENLJUNGA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46326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46326</v>
      </c>
      <c r="F97" t="inlineStr">
        <is>
          <t>VÄSTRA GÖTALANDS LÄN</t>
        </is>
      </c>
      <c r="G97" t="inlineStr">
        <is>
          <t>SVENLJUNGA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46326</v>
      </c>
      <c r="F98" t="inlineStr">
        <is>
          <t>VÄSTRA GÖTALANDS LÄN</t>
        </is>
      </c>
      <c r="G98" t="inlineStr">
        <is>
          <t>SVENLJUNGA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46326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46326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46326</v>
      </c>
      <c r="F101" t="inlineStr">
        <is>
          <t>VÄSTRA GÖTALANDS LÄN</t>
        </is>
      </c>
      <c r="G101" t="inlineStr">
        <is>
          <t>SVENLJUNGA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45509</v>
      </c>
      <c r="E102" s="1" t="n">
        <v>46326</v>
      </c>
      <c r="F102" t="inlineStr">
        <is>
          <t>VÄSTRA GÖTALANDS LÄN</t>
        </is>
      </c>
      <c r="G102" t="inlineStr">
        <is>
          <t>SVENLJUNGA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45354</v>
      </c>
      <c r="E103" s="1" t="n">
        <v>46326</v>
      </c>
      <c r="F103" t="inlineStr">
        <is>
          <t>VÄSTRA GÖTALANDS LÄN</t>
        </is>
      </c>
      <c r="G103" t="inlineStr">
        <is>
          <t>SVENLJUNGA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46326</v>
      </c>
      <c r="F104" t="inlineStr">
        <is>
          <t>VÄSTRA GÖTALANDS LÄN</t>
        </is>
      </c>
      <c r="G104" t="inlineStr">
        <is>
          <t>SVENLJUNGA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46326</v>
      </c>
      <c r="F105" t="inlineStr">
        <is>
          <t>VÄSTRA GÖTALANDS LÄN</t>
        </is>
      </c>
      <c r="G105" t="inlineStr">
        <is>
          <t>SVENLJUNGA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65961-2021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46326</v>
      </c>
      <c r="F106" t="inlineStr">
        <is>
          <t>VÄSTRA GÖTALANDS LÄN</t>
        </is>
      </c>
      <c r="G106" t="inlineStr">
        <is>
          <t>SVENLJUNGA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46326</v>
      </c>
      <c r="F107" t="inlineStr">
        <is>
          <t>VÄSTRA GÖTALANDS LÄN</t>
        </is>
      </c>
      <c r="G107" t="inlineStr">
        <is>
          <t>SVENLJUNGA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46326</v>
      </c>
      <c r="F108" t="inlineStr">
        <is>
          <t>VÄSTRA GÖTALANDS LÄN</t>
        </is>
      </c>
      <c r="G108" t="inlineStr">
        <is>
          <t>SVENLJUNGA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46326</v>
      </c>
      <c r="F109" t="inlineStr">
        <is>
          <t>VÄSTRA GÖTALANDS LÄN</t>
        </is>
      </c>
      <c r="G109" t="inlineStr">
        <is>
          <t>SVENLJUNGA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44898</v>
      </c>
      <c r="E110" s="1" t="n">
        <v>46326</v>
      </c>
      <c r="F110" t="inlineStr">
        <is>
          <t>VÄSTRA GÖTALANDS LÄN</t>
        </is>
      </c>
      <c r="G110" t="inlineStr">
        <is>
          <t>SVENLJUNGA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45569</v>
      </c>
      <c r="E111" s="1" t="n">
        <v>46326</v>
      </c>
      <c r="F111" t="inlineStr">
        <is>
          <t>VÄSTRA GÖTALANDS LÄN</t>
        </is>
      </c>
      <c r="G111" t="inlineStr">
        <is>
          <t>SVENLJUNGA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46326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45688</v>
      </c>
      <c r="E113" s="1" t="n">
        <v>46326</v>
      </c>
      <c r="F113" t="inlineStr">
        <is>
          <t>VÄSTRA GÖTALANDS LÄN</t>
        </is>
      </c>
      <c r="G113" t="inlineStr">
        <is>
          <t>SVENLJUNGA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46326</v>
      </c>
      <c r="F114" t="inlineStr">
        <is>
          <t>VÄSTRA GÖTALANDS LÄN</t>
        </is>
      </c>
      <c r="G114" t="inlineStr">
        <is>
          <t>SVENLJUNGA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46326</v>
      </c>
      <c r="F115" t="inlineStr">
        <is>
          <t>VÄSTRA GÖTALANDS LÄN</t>
        </is>
      </c>
      <c r="G115" t="inlineStr">
        <is>
          <t>SVENLJUNGA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44988</v>
      </c>
      <c r="E116" s="1" t="n">
        <v>46326</v>
      </c>
      <c r="F116" t="inlineStr">
        <is>
          <t>VÄSTRA GÖTALANDS LÄN</t>
        </is>
      </c>
      <c r="G116" t="inlineStr">
        <is>
          <t>SVENLJUNGA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46326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46326</v>
      </c>
      <c r="F118" t="inlineStr">
        <is>
          <t>VÄSTRA GÖTALANDS LÄN</t>
        </is>
      </c>
      <c r="G118" t="inlineStr">
        <is>
          <t>SVENLJUNGA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46326</v>
      </c>
      <c r="F119" t="inlineStr">
        <is>
          <t>VÄSTRA GÖTALANDS LÄN</t>
        </is>
      </c>
      <c r="G119" t="inlineStr">
        <is>
          <t>SVENLJUNGA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46326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46326</v>
      </c>
      <c r="F121" t="inlineStr">
        <is>
          <t>VÄSTRA GÖTALANDS LÄN</t>
        </is>
      </c>
      <c r="G121" t="inlineStr">
        <is>
          <t>SVENLJUNGA</t>
        </is>
      </c>
      <c r="I121" t="n">
        <v>12.2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46326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45181</v>
      </c>
      <c r="E123" s="1" t="n">
        <v>46326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46326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46326</v>
      </c>
      <c r="F125" t="inlineStr">
        <is>
          <t>VÄSTRA GÖTALANDS LÄN</t>
        </is>
      </c>
      <c r="G125" t="inlineStr">
        <is>
          <t>SVENLJUNGA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46326</v>
      </c>
      <c r="F126" t="inlineStr">
        <is>
          <t>VÄSTRA GÖTALANDS LÄN</t>
        </is>
      </c>
      <c r="G126" t="inlineStr">
        <is>
          <t>SVENLJUNGA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45814</v>
      </c>
      <c r="E127" s="1" t="n">
        <v>46326</v>
      </c>
      <c r="F127" t="inlineStr">
        <is>
          <t>VÄSTRA GÖTALANDS LÄN</t>
        </is>
      </c>
      <c r="G127" t="inlineStr">
        <is>
          <t>SVENLJUNGA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46326</v>
      </c>
      <c r="F128" t="inlineStr">
        <is>
          <t>VÄSTRA GÖTALANDS LÄN</t>
        </is>
      </c>
      <c r="G128" t="inlineStr">
        <is>
          <t>SVENLJUNGA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46326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46326</v>
      </c>
      <c r="F130" t="inlineStr">
        <is>
          <t>VÄSTRA GÖTALANDS LÄN</t>
        </is>
      </c>
      <c r="G130" t="inlineStr">
        <is>
          <t>SVENLJUNGA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45559</v>
      </c>
      <c r="E131" s="1" t="n">
        <v>46326</v>
      </c>
      <c r="F131" t="inlineStr">
        <is>
          <t>VÄSTRA GÖTALANDS LÄN</t>
        </is>
      </c>
      <c r="G131" t="inlineStr">
        <is>
          <t>SVENLJUNGA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46326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58618-2023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46326</v>
      </c>
      <c r="F133" t="inlineStr">
        <is>
          <t>VÄSTRA GÖTALANDS LÄN</t>
        </is>
      </c>
      <c r="G133" t="inlineStr">
        <is>
          <t>SVENLJUNGA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46326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46326</v>
      </c>
      <c r="F135" t="inlineStr">
        <is>
          <t>VÄSTRA GÖTALANDS LÄN</t>
        </is>
      </c>
      <c r="G135" t="inlineStr">
        <is>
          <t>SVENLJUNGA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46326</v>
      </c>
      <c r="F136" t="inlineStr">
        <is>
          <t>VÄSTRA GÖTALANDS LÄN</t>
        </is>
      </c>
      <c r="G136" t="inlineStr">
        <is>
          <t>SVENLJUNGA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44832</v>
      </c>
      <c r="E137" s="1" t="n">
        <v>46326</v>
      </c>
      <c r="F137" t="inlineStr">
        <is>
          <t>VÄSTRA GÖTALANDS LÄN</t>
        </is>
      </c>
      <c r="G137" t="inlineStr">
        <is>
          <t>SVENLJUNGA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46326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46326</v>
      </c>
      <c r="F139" t="inlineStr">
        <is>
          <t>VÄSTRA GÖTALANDS LÄN</t>
        </is>
      </c>
      <c r="G139" t="inlineStr">
        <is>
          <t>SVENLJUNGA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46326</v>
      </c>
      <c r="F140" t="inlineStr">
        <is>
          <t>VÄSTRA GÖTALANDS LÄN</t>
        </is>
      </c>
      <c r="G140" t="inlineStr">
        <is>
          <t>SVENLJUNGA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46326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46326</v>
      </c>
      <c r="F142" t="inlineStr">
        <is>
          <t>VÄSTRA GÖTALANDS LÄN</t>
        </is>
      </c>
      <c r="G142" t="inlineStr">
        <is>
          <t>SVENLJUNGA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46326</v>
      </c>
      <c r="F143" t="inlineStr">
        <is>
          <t>VÄSTRA GÖTALANDS LÄN</t>
        </is>
      </c>
      <c r="G143" t="inlineStr">
        <is>
          <t>SVENLJUNGA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45000</v>
      </c>
      <c r="E144" s="1" t="n">
        <v>46326</v>
      </c>
      <c r="F144" t="inlineStr">
        <is>
          <t>VÄSTRA GÖTALANDS LÄN</t>
        </is>
      </c>
      <c r="G144" t="inlineStr">
        <is>
          <t>SVENLJUNGA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45210</v>
      </c>
      <c r="E145" s="1" t="n">
        <v>46326</v>
      </c>
      <c r="F145" t="inlineStr">
        <is>
          <t>VÄSTRA GÖTALANDS LÄN</t>
        </is>
      </c>
      <c r="G145" t="inlineStr">
        <is>
          <t>SVENLJUNGA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11828-2024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46326</v>
      </c>
      <c r="F146" t="inlineStr">
        <is>
          <t>VÄSTRA GÖTALANDS LÄN</t>
        </is>
      </c>
      <c r="G146" t="inlineStr">
        <is>
          <t>SVENLJUNGA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46326</v>
      </c>
      <c r="F147" t="inlineStr">
        <is>
          <t>VÄSTRA GÖTALANDS LÄN</t>
        </is>
      </c>
      <c r="G147" t="inlineStr">
        <is>
          <t>SVENLJUNGA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46326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66109-2021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46326</v>
      </c>
      <c r="F149" t="inlineStr">
        <is>
          <t>VÄSTRA GÖTALANDS LÄN</t>
        </is>
      </c>
      <c r="G149" t="inlineStr">
        <is>
          <t>SVENLJUNGA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46326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46326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46326</v>
      </c>
      <c r="F152" t="inlineStr">
        <is>
          <t>VÄSTRA GÖTALANDS LÄN</t>
        </is>
      </c>
      <c r="G152" t="inlineStr">
        <is>
          <t>SVENLJUNGA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46326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46326</v>
      </c>
      <c r="F154" t="inlineStr">
        <is>
          <t>VÄSTRA GÖTALANDS LÄN</t>
        </is>
      </c>
      <c r="G154" t="inlineStr">
        <is>
          <t>SVENLJUNGA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46326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46326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46326</v>
      </c>
      <c r="F157" t="inlineStr">
        <is>
          <t>VÄSTRA GÖTALANDS LÄN</t>
        </is>
      </c>
      <c r="G157" t="inlineStr">
        <is>
          <t>SVENLJUNGA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46326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46326</v>
      </c>
      <c r="F159" t="inlineStr">
        <is>
          <t>VÄSTRA GÖTALANDS LÄN</t>
        </is>
      </c>
      <c r="G159" t="inlineStr">
        <is>
          <t>SVENLJUNGA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46326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46326</v>
      </c>
      <c r="F161" t="inlineStr">
        <is>
          <t>VÄSTRA GÖTALANDS LÄN</t>
        </is>
      </c>
      <c r="G161" t="inlineStr">
        <is>
          <t>SVENLJUNGA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46326</v>
      </c>
      <c r="F162" t="inlineStr">
        <is>
          <t>VÄSTRA GÖTALANDS LÄN</t>
        </is>
      </c>
      <c r="G162" t="inlineStr">
        <is>
          <t>SVENLJUNGA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46326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46326</v>
      </c>
      <c r="F164" t="inlineStr">
        <is>
          <t>VÄSTRA GÖTALANDS LÄN</t>
        </is>
      </c>
      <c r="G164" t="inlineStr">
        <is>
          <t>SVENLJUNGA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46326</v>
      </c>
      <c r="F165" t="inlineStr">
        <is>
          <t>VÄSTRA GÖTALANDS LÄN</t>
        </is>
      </c>
      <c r="G165" t="inlineStr">
        <is>
          <t>SVENLJUNGA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46326</v>
      </c>
      <c r="F166" t="inlineStr">
        <is>
          <t>VÄSTRA GÖTALANDS LÄN</t>
        </is>
      </c>
      <c r="G166" t="inlineStr">
        <is>
          <t>SVENLJUNGA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46326</v>
      </c>
      <c r="F167" t="inlineStr">
        <is>
          <t>VÄSTRA GÖTALANDS LÄN</t>
        </is>
      </c>
      <c r="G167" t="inlineStr">
        <is>
          <t>SVENLJUNGA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46326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46326</v>
      </c>
      <c r="F169" t="inlineStr">
        <is>
          <t>VÄSTRA GÖTALANDS LÄN</t>
        </is>
      </c>
      <c r="G169" t="inlineStr">
        <is>
          <t>SVENLJUNGA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46326</v>
      </c>
      <c r="F170" t="inlineStr">
        <is>
          <t>VÄSTRA GÖTALANDS LÄN</t>
        </is>
      </c>
      <c r="G170" t="inlineStr">
        <is>
          <t>SVENLJUNGA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46326</v>
      </c>
      <c r="F171" t="inlineStr">
        <is>
          <t>VÄSTRA GÖTALANDS LÄN</t>
        </is>
      </c>
      <c r="G171" t="inlineStr">
        <is>
          <t>SVENLJUNGA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46326</v>
      </c>
      <c r="F172" t="inlineStr">
        <is>
          <t>VÄSTRA GÖTALANDS LÄN</t>
        </is>
      </c>
      <c r="G172" t="inlineStr">
        <is>
          <t>SVENLJUNGA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46326</v>
      </c>
      <c r="F173" t="inlineStr">
        <is>
          <t>VÄSTRA GÖTALANDS LÄN</t>
        </is>
      </c>
      <c r="G173" t="inlineStr">
        <is>
          <t>SVENLJUNGA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46326</v>
      </c>
      <c r="F174" t="inlineStr">
        <is>
          <t>VÄSTRA GÖTALANDS LÄN</t>
        </is>
      </c>
      <c r="G174" t="inlineStr">
        <is>
          <t>SVENLJUNGA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46326</v>
      </c>
      <c r="F175" t="inlineStr">
        <is>
          <t>VÄSTRA GÖTALANDS LÄN</t>
        </is>
      </c>
      <c r="G175" t="inlineStr">
        <is>
          <t>SVENLJUNGA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46326</v>
      </c>
      <c r="F176" t="inlineStr">
        <is>
          <t>VÄSTRA GÖTALANDS LÄN</t>
        </is>
      </c>
      <c r="G176" t="inlineStr">
        <is>
          <t>SVENLJUNGA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45785</v>
      </c>
      <c r="E177" s="1" t="n">
        <v>46326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46326</v>
      </c>
      <c r="F178" t="inlineStr">
        <is>
          <t>VÄSTRA GÖTALANDS LÄN</t>
        </is>
      </c>
      <c r="G178" t="inlineStr">
        <is>
          <t>SVENLJUNGA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46326</v>
      </c>
      <c r="F179" t="inlineStr">
        <is>
          <t>VÄSTRA GÖTALANDS LÄN</t>
        </is>
      </c>
      <c r="G179" t="inlineStr">
        <is>
          <t>SVENLJUNGA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46326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44878-2025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45918</v>
      </c>
      <c r="E181" s="1" t="n">
        <v>46326</v>
      </c>
      <c r="F181" t="inlineStr">
        <is>
          <t>VÄSTRA GÖTALANDS LÄN</t>
        </is>
      </c>
      <c r="G181" t="inlineStr">
        <is>
          <t>SVENLJUNGA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46326</v>
      </c>
      <c r="F182" t="inlineStr">
        <is>
          <t>VÄSTRA GÖTALANDS LÄN</t>
        </is>
      </c>
      <c r="G182" t="inlineStr">
        <is>
          <t>SVENLJUNGA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46326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46326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46326</v>
      </c>
      <c r="F185" t="inlineStr">
        <is>
          <t>VÄSTRA GÖTALANDS LÄN</t>
        </is>
      </c>
      <c r="G185" t="inlineStr">
        <is>
          <t>SVENLJUNGA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45854</v>
      </c>
      <c r="E186" s="1" t="n">
        <v>46326</v>
      </c>
      <c r="F186" t="inlineStr">
        <is>
          <t>VÄSTRA GÖTALANDS LÄN</t>
        </is>
      </c>
      <c r="G186" t="inlineStr">
        <is>
          <t>SVENLJUNGA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46326</v>
      </c>
      <c r="F187" t="inlineStr">
        <is>
          <t>VÄSTRA GÖTALANDS LÄN</t>
        </is>
      </c>
      <c r="G187" t="inlineStr">
        <is>
          <t>SVENLJUNGA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46326</v>
      </c>
      <c r="F188" t="inlineStr">
        <is>
          <t>VÄSTRA GÖTALANDS LÄN</t>
        </is>
      </c>
      <c r="G188" t="inlineStr">
        <is>
          <t>SVENLJUNGA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45867</v>
      </c>
      <c r="E189" s="1" t="n">
        <v>46326</v>
      </c>
      <c r="F189" t="inlineStr">
        <is>
          <t>VÄSTRA GÖTALANDS LÄN</t>
        </is>
      </c>
      <c r="G189" t="inlineStr">
        <is>
          <t>SVENLJUNGA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46326</v>
      </c>
      <c r="F190" t="inlineStr">
        <is>
          <t>VÄSTRA GÖTALANDS LÄN</t>
        </is>
      </c>
      <c r="G190" t="inlineStr">
        <is>
          <t>SVENLJUNGA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46326</v>
      </c>
      <c r="F191" t="inlineStr">
        <is>
          <t>VÄSTRA GÖTALANDS LÄN</t>
        </is>
      </c>
      <c r="G191" t="inlineStr">
        <is>
          <t>SVENLJUNGA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45194</v>
      </c>
      <c r="E192" s="1" t="n">
        <v>46326</v>
      </c>
      <c r="F192" t="inlineStr">
        <is>
          <t>VÄSTRA GÖTALANDS LÄN</t>
        </is>
      </c>
      <c r="G192" t="inlineStr">
        <is>
          <t>SVENLJUNGA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45868</v>
      </c>
      <c r="E193" s="1" t="n">
        <v>46326</v>
      </c>
      <c r="F193" t="inlineStr">
        <is>
          <t>VÄSTRA GÖTALANDS LÄN</t>
        </is>
      </c>
      <c r="G193" t="inlineStr">
        <is>
          <t>SVENLJUNGA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46326</v>
      </c>
      <c r="F194" t="inlineStr">
        <is>
          <t>VÄSTRA GÖTALANDS LÄN</t>
        </is>
      </c>
      <c r="G194" t="inlineStr">
        <is>
          <t>SVENLJUNGA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46326</v>
      </c>
      <c r="F195" t="inlineStr">
        <is>
          <t>VÄSTRA GÖTALANDS LÄN</t>
        </is>
      </c>
      <c r="G195" t="inlineStr">
        <is>
          <t>SVENLJUNGA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46326</v>
      </c>
      <c r="F196" t="inlineStr">
        <is>
          <t>VÄSTRA GÖTALANDS LÄN</t>
        </is>
      </c>
      <c r="G196" t="inlineStr">
        <is>
          <t>SVENLJUNGA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46326</v>
      </c>
      <c r="F197" t="inlineStr">
        <is>
          <t>VÄSTRA GÖTALANDS LÄN</t>
        </is>
      </c>
      <c r="G197" t="inlineStr">
        <is>
          <t>SVENLJUNGA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46326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46326</v>
      </c>
      <c r="F199" t="inlineStr">
        <is>
          <t>VÄSTRA GÖTALANDS LÄN</t>
        </is>
      </c>
      <c r="G199" t="inlineStr">
        <is>
          <t>SVENLJUNGA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46326</v>
      </c>
      <c r="F200" t="inlineStr">
        <is>
          <t>VÄSTRA GÖTALANDS LÄN</t>
        </is>
      </c>
      <c r="G200" t="inlineStr">
        <is>
          <t>SVENLJUNGA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46326</v>
      </c>
      <c r="F201" t="inlineStr">
        <is>
          <t>VÄSTRA GÖTALANDS LÄN</t>
        </is>
      </c>
      <c r="G201" t="inlineStr">
        <is>
          <t>SVENLJUNGA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45734</v>
      </c>
      <c r="E202" s="1" t="n">
        <v>46326</v>
      </c>
      <c r="F202" t="inlineStr">
        <is>
          <t>VÄSTRA GÖTALANDS LÄN</t>
        </is>
      </c>
      <c r="G202" t="inlineStr">
        <is>
          <t>SVENLJUNGA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45120</v>
      </c>
      <c r="E203" s="1" t="n">
        <v>46326</v>
      </c>
      <c r="F203" t="inlineStr">
        <is>
          <t>VÄSTRA GÖTALANDS LÄN</t>
        </is>
      </c>
      <c r="G203" t="inlineStr">
        <is>
          <t>SVENLJUNGA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45734</v>
      </c>
      <c r="E204" s="1" t="n">
        <v>46326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46326</v>
      </c>
      <c r="F205" t="inlineStr">
        <is>
          <t>VÄSTRA GÖTALANDS LÄN</t>
        </is>
      </c>
      <c r="G205" t="inlineStr">
        <is>
          <t>SVENLJUNGA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46326</v>
      </c>
      <c r="F206" t="inlineStr">
        <is>
          <t>VÄSTRA GÖTALANDS LÄN</t>
        </is>
      </c>
      <c r="G206" t="inlineStr">
        <is>
          <t>SVENLJUNGA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46326</v>
      </c>
      <c r="F207" t="inlineStr">
        <is>
          <t>VÄSTRA GÖTALANDS LÄN</t>
        </is>
      </c>
      <c r="G207" t="inlineStr">
        <is>
          <t>SVENLJUNGA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46326</v>
      </c>
      <c r="F208" t="inlineStr">
        <is>
          <t>VÄSTRA GÖTALANDS LÄN</t>
        </is>
      </c>
      <c r="G208" t="inlineStr">
        <is>
          <t>SVENLJUNGA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46326</v>
      </c>
      <c r="F209" t="inlineStr">
        <is>
          <t>VÄSTRA GÖTALANDS LÄN</t>
        </is>
      </c>
      <c r="G209" t="inlineStr">
        <is>
          <t>SVENLJUNGA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46326</v>
      </c>
      <c r="F210" t="inlineStr">
        <is>
          <t>VÄSTRA GÖTALANDS LÄN</t>
        </is>
      </c>
      <c r="G210" t="inlineStr">
        <is>
          <t>SVENLJUNGA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46326</v>
      </c>
      <c r="F211" t="inlineStr">
        <is>
          <t>VÄSTRA GÖTALANDS LÄN</t>
        </is>
      </c>
      <c r="G211" t="inlineStr">
        <is>
          <t>SVENLJUNGA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28271-2023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45099</v>
      </c>
      <c r="E212" s="1" t="n">
        <v>46326</v>
      </c>
      <c r="F212" t="inlineStr">
        <is>
          <t>VÄSTRA GÖTALANDS LÄN</t>
        </is>
      </c>
      <c r="G212" t="inlineStr">
        <is>
          <t>SVENLJUNGA</t>
        </is>
      </c>
      <c r="H212" t="inlineStr">
        <is>
          <t>Kommuner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46326</v>
      </c>
      <c r="F213" t="inlineStr">
        <is>
          <t>VÄSTRA GÖTALANDS LÄN</t>
        </is>
      </c>
      <c r="G213" t="inlineStr">
        <is>
          <t>SVENLJUNGA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46326</v>
      </c>
      <c r="F214" t="inlineStr">
        <is>
          <t>VÄSTRA GÖTALANDS LÄN</t>
        </is>
      </c>
      <c r="G214" t="inlineStr">
        <is>
          <t>SVENLJUNGA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45354</v>
      </c>
      <c r="E215" s="1" t="n">
        <v>46326</v>
      </c>
      <c r="F215" t="inlineStr">
        <is>
          <t>VÄSTRA GÖTALANDS LÄN</t>
        </is>
      </c>
      <c r="G215" t="inlineStr">
        <is>
          <t>SVENLJUNGA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46326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46326</v>
      </c>
      <c r="F217" t="inlineStr">
        <is>
          <t>VÄSTRA GÖTALANDS LÄN</t>
        </is>
      </c>
      <c r="G217" t="inlineStr">
        <is>
          <t>SVENLJUNGA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46326</v>
      </c>
      <c r="F218" t="inlineStr">
        <is>
          <t>VÄSTRA GÖTALANDS LÄN</t>
        </is>
      </c>
      <c r="G218" t="inlineStr">
        <is>
          <t>SVENLJUNGA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46326</v>
      </c>
      <c r="F219" t="inlineStr">
        <is>
          <t>VÄSTRA GÖTALANDS LÄN</t>
        </is>
      </c>
      <c r="G219" t="inlineStr">
        <is>
          <t>SVENLJUNGA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46326</v>
      </c>
      <c r="F220" t="inlineStr">
        <is>
          <t>VÄSTRA GÖTALANDS LÄN</t>
        </is>
      </c>
      <c r="G220" t="inlineStr">
        <is>
          <t>SVENLJUNGA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46326</v>
      </c>
      <c r="F221" t="inlineStr">
        <is>
          <t>VÄSTRA GÖTALANDS LÄN</t>
        </is>
      </c>
      <c r="G221" t="inlineStr">
        <is>
          <t>SVENLJUNGA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10894-2024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45370</v>
      </c>
      <c r="E222" s="1" t="n">
        <v>46326</v>
      </c>
      <c r="F222" t="inlineStr">
        <is>
          <t>VÄSTRA GÖTALANDS LÄN</t>
        </is>
      </c>
      <c r="G222" t="inlineStr">
        <is>
          <t>SVENLJUNGA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46072</v>
      </c>
      <c r="E223" s="1" t="n">
        <v>46326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46326</v>
      </c>
      <c r="F224" t="inlineStr">
        <is>
          <t>VÄSTRA GÖTALANDS LÄN</t>
        </is>
      </c>
      <c r="G224" t="inlineStr">
        <is>
          <t>SVENLJUNGA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46326</v>
      </c>
      <c r="F225" t="inlineStr">
        <is>
          <t>VÄSTRA GÖTALANDS LÄN</t>
        </is>
      </c>
      <c r="G225" t="inlineStr">
        <is>
          <t>SVENLJUNGA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46326</v>
      </c>
      <c r="F226" t="inlineStr">
        <is>
          <t>VÄSTRA GÖTALANDS LÄN</t>
        </is>
      </c>
      <c r="G226" t="inlineStr">
        <is>
          <t>SVENLJUNGA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46326</v>
      </c>
      <c r="F227" t="inlineStr">
        <is>
          <t>VÄSTRA GÖTALANDS LÄN</t>
        </is>
      </c>
      <c r="G227" t="inlineStr">
        <is>
          <t>SVENLJUNGA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46326</v>
      </c>
      <c r="F228" t="inlineStr">
        <is>
          <t>VÄSTRA GÖTALANDS LÄN</t>
        </is>
      </c>
      <c r="G228" t="inlineStr">
        <is>
          <t>SVENLJUNGA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10359-2026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46076</v>
      </c>
      <c r="E229" s="1" t="n">
        <v>46326</v>
      </c>
      <c r="F229" t="inlineStr">
        <is>
          <t>VÄSTRA GÖTALANDS LÄN</t>
        </is>
      </c>
      <c r="G229" t="inlineStr">
        <is>
          <t>SVENLJUNGA</t>
        </is>
      </c>
      <c r="H229" t="inlineStr">
        <is>
          <t>Kommuner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46326</v>
      </c>
      <c r="F230" t="inlineStr">
        <is>
          <t>VÄSTRA GÖTALANDS LÄN</t>
        </is>
      </c>
      <c r="G230" t="inlineStr">
        <is>
          <t>SVENLJUNGA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46326</v>
      </c>
      <c r="F231" t="inlineStr">
        <is>
          <t>VÄSTRA GÖTALANDS LÄN</t>
        </is>
      </c>
      <c r="G231" t="inlineStr">
        <is>
          <t>SVENLJUNGA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46326</v>
      </c>
      <c r="F232" t="inlineStr">
        <is>
          <t>VÄSTRA GÖTALANDS LÄN</t>
        </is>
      </c>
      <c r="G232" t="inlineStr">
        <is>
          <t>SVENLJUNGA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46326</v>
      </c>
      <c r="F233" t="inlineStr">
        <is>
          <t>VÄSTRA GÖTALANDS LÄN</t>
        </is>
      </c>
      <c r="G233" t="inlineStr">
        <is>
          <t>SVENLJUNGA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44981</v>
      </c>
      <c r="E234" s="1" t="n">
        <v>46326</v>
      </c>
      <c r="F234" t="inlineStr">
        <is>
          <t>VÄSTRA GÖTALANDS LÄN</t>
        </is>
      </c>
      <c r="G234" t="inlineStr">
        <is>
          <t>SVENLJUNGA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45751</v>
      </c>
      <c r="E235" s="1" t="n">
        <v>46326</v>
      </c>
      <c r="F235" t="inlineStr">
        <is>
          <t>VÄSTRA GÖTALANDS LÄN</t>
        </is>
      </c>
      <c r="G235" t="inlineStr">
        <is>
          <t>SVENLJUNGA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46326</v>
      </c>
      <c r="F236" t="inlineStr">
        <is>
          <t>VÄSTRA GÖTALANDS LÄN</t>
        </is>
      </c>
      <c r="G236" t="inlineStr">
        <is>
          <t>SVENLJUNGA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46326</v>
      </c>
      <c r="F237" t="inlineStr">
        <is>
          <t>VÄSTRA GÖTALANDS LÄN</t>
        </is>
      </c>
      <c r="G237" t="inlineStr">
        <is>
          <t>SVENLJUNGA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45968</v>
      </c>
      <c r="E238" s="1" t="n">
        <v>46326</v>
      </c>
      <c r="F238" t="inlineStr">
        <is>
          <t>VÄSTRA GÖTALANDS LÄN</t>
        </is>
      </c>
      <c r="G238" t="inlineStr">
        <is>
          <t>SVENLJUNGA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45020</v>
      </c>
      <c r="E239" s="1" t="n">
        <v>46326</v>
      </c>
      <c r="F239" t="inlineStr">
        <is>
          <t>VÄSTRA GÖTALANDS LÄN</t>
        </is>
      </c>
      <c r="G239" t="inlineStr">
        <is>
          <t>SVENLJUNGA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46326</v>
      </c>
      <c r="F240" t="inlineStr">
        <is>
          <t>VÄSTRA GÖTALANDS LÄN</t>
        </is>
      </c>
      <c r="G240" t="inlineStr">
        <is>
          <t>SVENLJUNGA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52408-2024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45609</v>
      </c>
      <c r="E241" s="1" t="n">
        <v>46326</v>
      </c>
      <c r="F241" t="inlineStr">
        <is>
          <t>VÄSTRA GÖTALANDS LÄN</t>
        </is>
      </c>
      <c r="G241" t="inlineStr">
        <is>
          <t>SVENLJUNGA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46326</v>
      </c>
      <c r="F242" t="inlineStr">
        <is>
          <t>VÄSTRA GÖTALANDS LÄN</t>
        </is>
      </c>
      <c r="G242" t="inlineStr">
        <is>
          <t>SVENLJUNGA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46326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52616-2024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45609</v>
      </c>
      <c r="E244" s="1" t="n">
        <v>46326</v>
      </c>
      <c r="F244" t="inlineStr">
        <is>
          <t>VÄSTRA GÖTALANDS LÄN</t>
        </is>
      </c>
      <c r="G244" t="inlineStr">
        <is>
          <t>SVENLJUNGA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45048</v>
      </c>
      <c r="E245" s="1" t="n">
        <v>46326</v>
      </c>
      <c r="F245" t="inlineStr">
        <is>
          <t>VÄSTRA GÖTALANDS LÄN</t>
        </is>
      </c>
      <c r="G245" t="inlineStr">
        <is>
          <t>SVENLJUNGA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46326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46326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46326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45091</v>
      </c>
      <c r="E249" s="1" t="n">
        <v>46326</v>
      </c>
      <c r="F249" t="inlineStr">
        <is>
          <t>VÄSTRA GÖTALANDS LÄN</t>
        </is>
      </c>
      <c r="G249" t="inlineStr">
        <is>
          <t>SVENLJUNGA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46326</v>
      </c>
      <c r="F250" t="inlineStr">
        <is>
          <t>VÄSTRA GÖTALANDS LÄN</t>
        </is>
      </c>
      <c r="G250" t="inlineStr">
        <is>
          <t>SVENLJUNGA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44937</v>
      </c>
      <c r="E251" s="1" t="n">
        <v>46326</v>
      </c>
      <c r="F251" t="inlineStr">
        <is>
          <t>VÄSTRA GÖTALANDS LÄN</t>
        </is>
      </c>
      <c r="G251" t="inlineStr">
        <is>
          <t>SVENLJUNGA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46326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46326</v>
      </c>
      <c r="F253" t="inlineStr">
        <is>
          <t>VÄSTRA GÖTALANDS LÄN</t>
        </is>
      </c>
      <c r="G253" t="inlineStr">
        <is>
          <t>SVENLJUNGA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46326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Sveaskog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46326</v>
      </c>
      <c r="F255" t="inlineStr">
        <is>
          <t>VÄSTRA GÖTALANDS LÄN</t>
        </is>
      </c>
      <c r="G255" t="inlineStr">
        <is>
          <t>SVENLJUNGA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46326</v>
      </c>
      <c r="F256" t="inlineStr">
        <is>
          <t>VÄSTRA GÖTALANDS LÄN</t>
        </is>
      </c>
      <c r="G256" t="inlineStr">
        <is>
          <t>SVENLJUNGA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45489</v>
      </c>
      <c r="E257" s="1" t="n">
        <v>46326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46326</v>
      </c>
      <c r="F258" t="inlineStr">
        <is>
          <t>VÄSTRA GÖTALANDS LÄN</t>
        </is>
      </c>
      <c r="G258" t="inlineStr">
        <is>
          <t>SVENLJUNGA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46326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46326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46326</v>
      </c>
      <c r="F261" t="inlineStr">
        <is>
          <t>VÄSTRA GÖTALANDS LÄN</t>
        </is>
      </c>
      <c r="G261" t="inlineStr">
        <is>
          <t>SVENLJUNGA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46326</v>
      </c>
      <c r="F262" t="inlineStr">
        <is>
          <t>VÄSTRA GÖTALANDS LÄN</t>
        </is>
      </c>
      <c r="G262" t="inlineStr">
        <is>
          <t>SVENLJUNGA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46326</v>
      </c>
      <c r="F263" t="inlineStr">
        <is>
          <t>VÄSTRA GÖTALANDS LÄN</t>
        </is>
      </c>
      <c r="G263" t="inlineStr">
        <is>
          <t>SVENLJUNGA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45376</v>
      </c>
      <c r="E264" s="1" t="n">
        <v>46326</v>
      </c>
      <c r="F264" t="inlineStr">
        <is>
          <t>VÄSTRA GÖTALANDS LÄN</t>
        </is>
      </c>
      <c r="G264" t="inlineStr">
        <is>
          <t>SVENLJUNGA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46326</v>
      </c>
      <c r="F265" t="inlineStr">
        <is>
          <t>VÄSTRA GÖTALANDS LÄN</t>
        </is>
      </c>
      <c r="G265" t="inlineStr">
        <is>
          <t>SVENLJUNGA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44953</v>
      </c>
      <c r="E266" s="1" t="n">
        <v>46326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44942</v>
      </c>
      <c r="E267" s="1" t="n">
        <v>46326</v>
      </c>
      <c r="F267" t="inlineStr">
        <is>
          <t>VÄSTRA GÖTALANDS LÄN</t>
        </is>
      </c>
      <c r="G267" t="inlineStr">
        <is>
          <t>SVENLJUNGA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46326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46326</v>
      </c>
      <c r="F269" t="inlineStr">
        <is>
          <t>VÄSTRA GÖTALANDS LÄN</t>
        </is>
      </c>
      <c r="G269" t="inlineStr">
        <is>
          <t>SVENLJUNGA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45995</v>
      </c>
      <c r="E270" s="1" t="n">
        <v>46326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46326</v>
      </c>
      <c r="F271" t="inlineStr">
        <is>
          <t>VÄSTRA GÖTALANDS LÄN</t>
        </is>
      </c>
      <c r="G271" t="inlineStr">
        <is>
          <t>SVENLJUNGA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60561-2024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45644</v>
      </c>
      <c r="E272" s="1" t="n">
        <v>46326</v>
      </c>
      <c r="F272" t="inlineStr">
        <is>
          <t>VÄSTRA GÖTALANDS LÄN</t>
        </is>
      </c>
      <c r="G272" t="inlineStr">
        <is>
          <t>SVENLJUNGA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45572</v>
      </c>
      <c r="E273" s="1" t="n">
        <v>46326</v>
      </c>
      <c r="F273" t="inlineStr">
        <is>
          <t>VÄSTRA GÖTALANDS LÄN</t>
        </is>
      </c>
      <c r="G273" t="inlineStr">
        <is>
          <t>SVENLJUNGA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9532-2022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44617</v>
      </c>
      <c r="E274" s="1" t="n">
        <v>46326</v>
      </c>
      <c r="F274" t="inlineStr">
        <is>
          <t>VÄSTRA GÖTALANDS LÄN</t>
        </is>
      </c>
      <c r="G274" t="inlineStr">
        <is>
          <t>SVENLJUNGA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45566</v>
      </c>
      <c r="E275" s="1" t="n">
        <v>46326</v>
      </c>
      <c r="F275" t="inlineStr">
        <is>
          <t>VÄSTRA GÖTALANDS LÄN</t>
        </is>
      </c>
      <c r="G275" t="inlineStr">
        <is>
          <t>SVENLJUNGA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44837</v>
      </c>
      <c r="E276" s="1" t="n">
        <v>46326</v>
      </c>
      <c r="F276" t="inlineStr">
        <is>
          <t>VÄSTRA GÖTALANDS LÄN</t>
        </is>
      </c>
      <c r="G276" t="inlineStr">
        <is>
          <t>SVENLJUNGA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46326</v>
      </c>
      <c r="F277" t="inlineStr">
        <is>
          <t>VÄSTRA GÖTALANDS LÄN</t>
        </is>
      </c>
      <c r="G277" t="inlineStr">
        <is>
          <t>SVENLJUNGA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46326</v>
      </c>
      <c r="F278" t="inlineStr">
        <is>
          <t>VÄSTRA GÖTALANDS LÄN</t>
        </is>
      </c>
      <c r="G278" t="inlineStr">
        <is>
          <t>SVENLJUNGA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46326</v>
      </c>
      <c r="F279" t="inlineStr">
        <is>
          <t>VÄSTRA GÖTALANDS LÄN</t>
        </is>
      </c>
      <c r="G279" t="inlineStr">
        <is>
          <t>SVENLJUNGA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9361-2022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44616</v>
      </c>
      <c r="E280" s="1" t="n">
        <v>46326</v>
      </c>
      <c r="F280" t="inlineStr">
        <is>
          <t>VÄSTRA GÖTALANDS LÄN</t>
        </is>
      </c>
      <c r="G280" t="inlineStr">
        <is>
          <t>SVENLJUNGA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46326</v>
      </c>
      <c r="F281" t="inlineStr">
        <is>
          <t>VÄSTRA GÖTALANDS LÄN</t>
        </is>
      </c>
      <c r="G281" t="inlineStr">
        <is>
          <t>SVENLJUNGA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46326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46326</v>
      </c>
      <c r="F283" t="inlineStr">
        <is>
          <t>VÄSTRA GÖTALANDS LÄN</t>
        </is>
      </c>
      <c r="G283" t="inlineStr">
        <is>
          <t>SVENLJUNGA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46326</v>
      </c>
      <c r="F284" t="inlineStr">
        <is>
          <t>VÄSTRA GÖTALANDS LÄN</t>
        </is>
      </c>
      <c r="G284" t="inlineStr">
        <is>
          <t>SVENLJUNGA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46002</v>
      </c>
      <c r="E285" s="1" t="n">
        <v>46326</v>
      </c>
      <c r="F285" t="inlineStr">
        <is>
          <t>VÄSTRA GÖTALANDS LÄN</t>
        </is>
      </c>
      <c r="G285" t="inlineStr">
        <is>
          <t>SVENLJUNGA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35034-2022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44797</v>
      </c>
      <c r="E286" s="1" t="n">
        <v>46326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46326</v>
      </c>
      <c r="F287" t="inlineStr">
        <is>
          <t>VÄSTRA GÖTALANDS LÄN</t>
        </is>
      </c>
      <c r="G287" t="inlineStr">
        <is>
          <t>SVENLJUNGA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46002</v>
      </c>
      <c r="E288" s="1" t="n">
        <v>46326</v>
      </c>
      <c r="F288" t="inlineStr">
        <is>
          <t>VÄSTRA GÖTALANDS LÄN</t>
        </is>
      </c>
      <c r="G288" t="inlineStr">
        <is>
          <t>SVENLJUNGA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44970</v>
      </c>
      <c r="E289" s="1" t="n">
        <v>46326</v>
      </c>
      <c r="F289" t="inlineStr">
        <is>
          <t>VÄSTRA GÖTALANDS LÄN</t>
        </is>
      </c>
      <c r="G289" t="inlineStr">
        <is>
          <t>SVENLJUNGA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46006</v>
      </c>
      <c r="E290" s="1" t="n">
        <v>46326</v>
      </c>
      <c r="F290" t="inlineStr">
        <is>
          <t>VÄSTRA GÖTALANDS LÄN</t>
        </is>
      </c>
      <c r="G290" t="inlineStr">
        <is>
          <t>SVENLJUNGA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46326</v>
      </c>
      <c r="F291" t="inlineStr">
        <is>
          <t>VÄSTRA GÖTALANDS LÄN</t>
        </is>
      </c>
      <c r="G291" t="inlineStr">
        <is>
          <t>SVENLJUNGA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46326</v>
      </c>
      <c r="F292" t="inlineStr">
        <is>
          <t>VÄSTRA GÖTALANDS LÄN</t>
        </is>
      </c>
      <c r="G292" t="inlineStr">
        <is>
          <t>SVENLJUNGA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46326</v>
      </c>
      <c r="F293" t="inlineStr">
        <is>
          <t>VÄSTRA GÖTALANDS LÄN</t>
        </is>
      </c>
      <c r="G293" t="inlineStr">
        <is>
          <t>SVENLJUNGA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46326</v>
      </c>
      <c r="F294" t="inlineStr">
        <is>
          <t>VÄSTRA GÖTALANDS LÄN</t>
        </is>
      </c>
      <c r="G294" t="inlineStr">
        <is>
          <t>SVENLJUNGA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46326</v>
      </c>
      <c r="F295" t="inlineStr">
        <is>
          <t>VÄSTRA GÖTALANDS LÄN</t>
        </is>
      </c>
      <c r="G295" t="inlineStr">
        <is>
          <t>SVENLJUNGA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46326</v>
      </c>
      <c r="F296" t="inlineStr">
        <is>
          <t>VÄSTRA GÖTALANDS LÄN</t>
        </is>
      </c>
      <c r="G296" t="inlineStr">
        <is>
          <t>SVENLJUNGA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46326</v>
      </c>
      <c r="F297" t="inlineStr">
        <is>
          <t>VÄSTRA GÖTALANDS LÄN</t>
        </is>
      </c>
      <c r="G297" t="inlineStr">
        <is>
          <t>SVENLJUNGA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37109-2022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46326</v>
      </c>
      <c r="F298" t="inlineStr">
        <is>
          <t>VÄSTRA GÖTALANDS LÄN</t>
        </is>
      </c>
      <c r="G298" t="inlineStr">
        <is>
          <t>SVENLJUNGA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46326</v>
      </c>
      <c r="F299" t="inlineStr">
        <is>
          <t>VÄSTRA GÖTALANDS LÄN</t>
        </is>
      </c>
      <c r="G299" t="inlineStr">
        <is>
          <t>SVENLJUNGA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45693</v>
      </c>
      <c r="E300" s="1" t="n">
        <v>46326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46326</v>
      </c>
      <c r="F301" t="inlineStr">
        <is>
          <t>VÄSTRA GÖTALANDS LÄN</t>
        </is>
      </c>
      <c r="G301" t="inlineStr">
        <is>
          <t>SVENLJUNGA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45002</v>
      </c>
      <c r="E302" s="1" t="n">
        <v>46326</v>
      </c>
      <c r="F302" t="inlineStr">
        <is>
          <t>VÄSTRA GÖTALANDS LÄN</t>
        </is>
      </c>
      <c r="G302" t="inlineStr">
        <is>
          <t>SVENLJUNGA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46326</v>
      </c>
      <c r="F303" t="inlineStr">
        <is>
          <t>VÄSTRA GÖTALANDS LÄN</t>
        </is>
      </c>
      <c r="G303" t="inlineStr">
        <is>
          <t>SVENLJUNGA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46326</v>
      </c>
      <c r="F304" t="inlineStr">
        <is>
          <t>VÄSTRA GÖTALANDS LÄN</t>
        </is>
      </c>
      <c r="G304" t="inlineStr">
        <is>
          <t>SVENLJUNGA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58341-2023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45250</v>
      </c>
      <c r="E305" s="1" t="n">
        <v>46326</v>
      </c>
      <c r="F305" t="inlineStr">
        <is>
          <t>VÄSTRA GÖTALANDS LÄN</t>
        </is>
      </c>
      <c r="G305" t="inlineStr">
        <is>
          <t>SVENLJUNGA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46326</v>
      </c>
      <c r="F306" t="inlineStr">
        <is>
          <t>VÄSTRA GÖTALANDS LÄN</t>
        </is>
      </c>
      <c r="G306" t="inlineStr">
        <is>
          <t>SVENLJUNGA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44564</v>
      </c>
      <c r="E307" s="1" t="n">
        <v>46326</v>
      </c>
      <c r="F307" t="inlineStr">
        <is>
          <t>VÄSTRA GÖTALANDS LÄN</t>
        </is>
      </c>
      <c r="G307" t="inlineStr">
        <is>
          <t>SVENLJUNGA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44860</v>
      </c>
      <c r="E308" s="1" t="n">
        <v>46326</v>
      </c>
      <c r="F308" t="inlineStr">
        <is>
          <t>VÄSTRA GÖTALANDS LÄN</t>
        </is>
      </c>
      <c r="G308" t="inlineStr">
        <is>
          <t>SVENLJUNGA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46326</v>
      </c>
      <c r="F309" t="inlineStr">
        <is>
          <t>VÄSTRA GÖTALANDS LÄN</t>
        </is>
      </c>
      <c r="G309" t="inlineStr">
        <is>
          <t>SVENLJUNGA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46326</v>
      </c>
      <c r="F310" t="inlineStr">
        <is>
          <t>VÄSTRA GÖTALANDS LÄN</t>
        </is>
      </c>
      <c r="G310" t="inlineStr">
        <is>
          <t>SVENLJUNGA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46326</v>
      </c>
      <c r="F311" t="inlineStr">
        <is>
          <t>VÄSTRA GÖTALANDS LÄN</t>
        </is>
      </c>
      <c r="G311" t="inlineStr">
        <is>
          <t>SVENLJUNGA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45533</v>
      </c>
      <c r="E312" s="1" t="n">
        <v>46326</v>
      </c>
      <c r="F312" t="inlineStr">
        <is>
          <t>VÄSTRA GÖTALANDS LÄN</t>
        </is>
      </c>
      <c r="G312" t="inlineStr">
        <is>
          <t>SVENLJUNGA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45386</v>
      </c>
      <c r="E313" s="1" t="n">
        <v>46326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44981</v>
      </c>
      <c r="E314" s="1" t="n">
        <v>46326</v>
      </c>
      <c r="F314" t="inlineStr">
        <is>
          <t>VÄSTRA GÖTALANDS LÄN</t>
        </is>
      </c>
      <c r="G314" t="inlineStr">
        <is>
          <t>SVENLJUNGA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46326</v>
      </c>
      <c r="F315" t="inlineStr">
        <is>
          <t>VÄSTRA GÖTALANDS LÄN</t>
        </is>
      </c>
      <c r="G315" t="inlineStr">
        <is>
          <t>SVENLJUNGA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45114</v>
      </c>
      <c r="E316" s="1" t="n">
        <v>46326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44615</v>
      </c>
      <c r="E317" s="1" t="n">
        <v>46326</v>
      </c>
      <c r="F317" t="inlineStr">
        <is>
          <t>VÄSTRA GÖTALANDS LÄN</t>
        </is>
      </c>
      <c r="G317" t="inlineStr">
        <is>
          <t>SVENLJUNGA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45775</v>
      </c>
      <c r="E318" s="1" t="n">
        <v>46326</v>
      </c>
      <c r="F318" t="inlineStr">
        <is>
          <t>VÄSTRA GÖTALANDS LÄN</t>
        </is>
      </c>
      <c r="G318" t="inlineStr">
        <is>
          <t>SVENLJUNGA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55820-2025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45972</v>
      </c>
      <c r="E319" s="1" t="n">
        <v>46326</v>
      </c>
      <c r="F319" t="inlineStr">
        <is>
          <t>VÄSTRA GÖTALANDS LÄN</t>
        </is>
      </c>
      <c r="G319" t="inlineStr">
        <is>
          <t>SVENLJUNGA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57227-2022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46326</v>
      </c>
      <c r="F320" t="inlineStr">
        <is>
          <t>VÄSTRA GÖTALANDS LÄN</t>
        </is>
      </c>
      <c r="G320" t="inlineStr">
        <is>
          <t>SVENLJUNGA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44603</v>
      </c>
      <c r="E321" s="1" t="n">
        <v>46326</v>
      </c>
      <c r="F321" t="inlineStr">
        <is>
          <t>VÄSTRA GÖTALANDS LÄN</t>
        </is>
      </c>
      <c r="G321" t="inlineStr">
        <is>
          <t>SVENLJUNGA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45160</v>
      </c>
      <c r="E322" s="1" t="n">
        <v>46326</v>
      </c>
      <c r="F322" t="inlineStr">
        <is>
          <t>VÄSTRA GÖTALANDS LÄN</t>
        </is>
      </c>
      <c r="G322" t="inlineStr">
        <is>
          <t>SVENLJUNGA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45747</v>
      </c>
      <c r="E323" s="1" t="n">
        <v>46326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46326</v>
      </c>
      <c r="F324" t="inlineStr">
        <is>
          <t>VÄSTRA GÖTALANDS LÄN</t>
        </is>
      </c>
      <c r="G324" t="inlineStr">
        <is>
          <t>SVENLJUNGA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46326</v>
      </c>
      <c r="F325" t="inlineStr">
        <is>
          <t>VÄSTRA GÖTALANDS LÄN</t>
        </is>
      </c>
      <c r="G325" t="inlineStr">
        <is>
          <t>SVENLJUNGA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46326</v>
      </c>
      <c r="F326" t="inlineStr">
        <is>
          <t>VÄSTRA GÖTALANDS LÄN</t>
        </is>
      </c>
      <c r="G326" t="inlineStr">
        <is>
          <t>SVENLJUNGA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45069</v>
      </c>
      <c r="E327" s="1" t="n">
        <v>46326</v>
      </c>
      <c r="F327" t="inlineStr">
        <is>
          <t>VÄSTRA GÖTALANDS LÄN</t>
        </is>
      </c>
      <c r="G327" t="inlineStr">
        <is>
          <t>SVENLJUNGA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46326</v>
      </c>
      <c r="F328" t="inlineStr">
        <is>
          <t>VÄSTRA GÖTALANDS LÄN</t>
        </is>
      </c>
      <c r="G328" t="inlineStr">
        <is>
          <t>SVENLJUNGA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46326</v>
      </c>
      <c r="F329" t="inlineStr">
        <is>
          <t>VÄSTRA GÖTALANDS LÄN</t>
        </is>
      </c>
      <c r="G329" t="inlineStr">
        <is>
          <t>SVENLJUNGA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46326</v>
      </c>
      <c r="F330" t="inlineStr">
        <is>
          <t>VÄSTRA GÖTALANDS LÄN</t>
        </is>
      </c>
      <c r="G330" t="inlineStr">
        <is>
          <t>SVENLJUNGA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45884</v>
      </c>
      <c r="E331" s="1" t="n">
        <v>46326</v>
      </c>
      <c r="F331" t="inlineStr">
        <is>
          <t>VÄSTRA GÖTALANDS LÄN</t>
        </is>
      </c>
      <c r="G331" t="inlineStr">
        <is>
          <t>SVENLJUNGA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46326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46326</v>
      </c>
      <c r="F333" t="inlineStr">
        <is>
          <t>VÄSTRA GÖTALANDS LÄN</t>
        </is>
      </c>
      <c r="G333" t="inlineStr">
        <is>
          <t>SVENLJUNGA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46326</v>
      </c>
      <c r="F334" t="inlineStr">
        <is>
          <t>VÄSTRA GÖTALANDS LÄN</t>
        </is>
      </c>
      <c r="G334" t="inlineStr">
        <is>
          <t>SVENLJUNGA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46326</v>
      </c>
      <c r="F335" t="inlineStr">
        <is>
          <t>VÄSTRA GÖTALANDS LÄN</t>
        </is>
      </c>
      <c r="G335" t="inlineStr">
        <is>
          <t>SVENLJUNGA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46326</v>
      </c>
      <c r="F336" t="inlineStr">
        <is>
          <t>VÄSTRA GÖTALANDS LÄN</t>
        </is>
      </c>
      <c r="G336" t="inlineStr">
        <is>
          <t>SVENLJUNGA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46326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46326</v>
      </c>
      <c r="F338" t="inlineStr">
        <is>
          <t>VÄSTRA GÖTALANDS LÄN</t>
        </is>
      </c>
      <c r="G338" t="inlineStr">
        <is>
          <t>SVENLJUNGA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46326</v>
      </c>
      <c r="F339" t="inlineStr">
        <is>
          <t>VÄSTRA GÖTALANDS LÄN</t>
        </is>
      </c>
      <c r="G339" t="inlineStr">
        <is>
          <t>SVENLJUNGA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46326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46326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46326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45789</v>
      </c>
      <c r="E343" s="1" t="n">
        <v>46326</v>
      </c>
      <c r="F343" t="inlineStr">
        <is>
          <t>VÄSTRA GÖTALANDS LÄN</t>
        </is>
      </c>
      <c r="G343" t="inlineStr">
        <is>
          <t>SVENLJUNGA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45585</v>
      </c>
      <c r="E344" s="1" t="n">
        <v>46326</v>
      </c>
      <c r="F344" t="inlineStr">
        <is>
          <t>VÄSTRA GÖTALANDS LÄN</t>
        </is>
      </c>
      <c r="G344" t="inlineStr">
        <is>
          <t>SVENLJUNGA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46326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45526</v>
      </c>
      <c r="E346" s="1" t="n">
        <v>46326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Kommuner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44804</v>
      </c>
      <c r="E347" s="1" t="n">
        <v>46326</v>
      </c>
      <c r="F347" t="inlineStr">
        <is>
          <t>VÄSTRA GÖTALANDS LÄN</t>
        </is>
      </c>
      <c r="G347" t="inlineStr">
        <is>
          <t>SVENLJUNGA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41880-2022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46326</v>
      </c>
      <c r="F348" t="inlineStr">
        <is>
          <t>VÄSTRA GÖTALANDS LÄN</t>
        </is>
      </c>
      <c r="G348" t="inlineStr">
        <is>
          <t>SVENLJUNGA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46326</v>
      </c>
      <c r="F349" t="inlineStr">
        <is>
          <t>VÄSTRA GÖTALANDS LÄN</t>
        </is>
      </c>
      <c r="G349" t="inlineStr">
        <is>
          <t>SVENLJUNGA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37110-2022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44806</v>
      </c>
      <c r="E350" s="1" t="n">
        <v>46326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40552-2024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45555</v>
      </c>
      <c r="E351" s="1" t="n">
        <v>46326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Kommuner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44749</v>
      </c>
      <c r="E352" s="1" t="n">
        <v>46326</v>
      </c>
      <c r="F352" t="inlineStr">
        <is>
          <t>VÄSTRA GÖTALANDS LÄN</t>
        </is>
      </c>
      <c r="G352" t="inlineStr">
        <is>
          <t>SVENLJUNGA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45485</v>
      </c>
      <c r="E353" s="1" t="n">
        <v>46326</v>
      </c>
      <c r="F353" t="inlineStr">
        <is>
          <t>VÄSTRA GÖTALANDS LÄN</t>
        </is>
      </c>
      <c r="G353" t="inlineStr">
        <is>
          <t>SVENLJUNGA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45485</v>
      </c>
      <c r="E354" s="1" t="n">
        <v>46326</v>
      </c>
      <c r="F354" t="inlineStr">
        <is>
          <t>VÄSTRA GÖTALANDS LÄN</t>
        </is>
      </c>
      <c r="G354" t="inlineStr">
        <is>
          <t>SVENLJUNGA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46326</v>
      </c>
      <c r="F355" t="inlineStr">
        <is>
          <t>VÄSTRA GÖTALANDS LÄN</t>
        </is>
      </c>
      <c r="G355" t="inlineStr">
        <is>
          <t>SVENLJUNGA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46326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46326</v>
      </c>
      <c r="F357" t="inlineStr">
        <is>
          <t>VÄSTRA GÖTALANDS LÄN</t>
        </is>
      </c>
      <c r="G357" t="inlineStr">
        <is>
          <t>SVENLJUNGA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46326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46326</v>
      </c>
      <c r="F359" t="inlineStr">
        <is>
          <t>VÄSTRA GÖTALANDS LÄN</t>
        </is>
      </c>
      <c r="G359" t="inlineStr">
        <is>
          <t>SVENLJUNGA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46326</v>
      </c>
      <c r="F360" t="inlineStr">
        <is>
          <t>VÄSTRA GÖTALANDS LÄN</t>
        </is>
      </c>
      <c r="G360" t="inlineStr">
        <is>
          <t>SVENLJUNGA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45062</v>
      </c>
      <c r="E361" s="1" t="n">
        <v>46326</v>
      </c>
      <c r="F361" t="inlineStr">
        <is>
          <t>VÄSTRA GÖTALANDS LÄN</t>
        </is>
      </c>
      <c r="G361" t="inlineStr">
        <is>
          <t>SVENLJUNGA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46326</v>
      </c>
      <c r="F362" t="inlineStr">
        <is>
          <t>VÄSTRA GÖTALANDS LÄN</t>
        </is>
      </c>
      <c r="G362" t="inlineStr">
        <is>
          <t>SVENLJUNGA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46326</v>
      </c>
      <c r="F363" t="inlineStr">
        <is>
          <t>VÄSTRA GÖTALANDS LÄN</t>
        </is>
      </c>
      <c r="G363" t="inlineStr">
        <is>
          <t>SVENLJUNGA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44915</v>
      </c>
      <c r="E364" s="1" t="n">
        <v>46326</v>
      </c>
      <c r="F364" t="inlineStr">
        <is>
          <t>VÄSTRA GÖTALANDS LÄN</t>
        </is>
      </c>
      <c r="G364" t="inlineStr">
        <is>
          <t>SVENLJUNGA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46149</v>
      </c>
      <c r="E365" s="1" t="n">
        <v>46326</v>
      </c>
      <c r="F365" t="inlineStr">
        <is>
          <t>VÄSTRA GÖTALANDS LÄN</t>
        </is>
      </c>
      <c r="G365" t="inlineStr">
        <is>
          <t>SVENLJUNGA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45362</v>
      </c>
      <c r="E366" s="1" t="n">
        <v>46326</v>
      </c>
      <c r="F366" t="inlineStr">
        <is>
          <t>VÄSTRA GÖTALANDS LÄN</t>
        </is>
      </c>
      <c r="G366" t="inlineStr">
        <is>
          <t>SVENLJUNGA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46149</v>
      </c>
      <c r="E367" s="1" t="n">
        <v>46326</v>
      </c>
      <c r="F367" t="inlineStr">
        <is>
          <t>VÄSTRA GÖTALANDS LÄN</t>
        </is>
      </c>
      <c r="G367" t="inlineStr">
        <is>
          <t>SVENLJUNGA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46149</v>
      </c>
      <c r="E368" s="1" t="n">
        <v>46326</v>
      </c>
      <c r="F368" t="inlineStr">
        <is>
          <t>VÄSTRA GÖTALANDS LÄN</t>
        </is>
      </c>
      <c r="G368" t="inlineStr">
        <is>
          <t>SVENLJUNGA</t>
        </is>
      </c>
      <c r="H368" t="inlineStr">
        <is>
          <t>Sveaskog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46326</v>
      </c>
      <c r="F369" t="inlineStr">
        <is>
          <t>VÄSTRA GÖTALANDS LÄN</t>
        </is>
      </c>
      <c r="G369" t="inlineStr">
        <is>
          <t>SVENLJUNGA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46326</v>
      </c>
      <c r="F370" t="inlineStr">
        <is>
          <t>VÄSTRA GÖTALANDS LÄN</t>
        </is>
      </c>
      <c r="G370" t="inlineStr">
        <is>
          <t>SVENLJUNGA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11363-2025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45726</v>
      </c>
      <c r="E371" s="1" t="n">
        <v>46326</v>
      </c>
      <c r="F371" t="inlineStr">
        <is>
          <t>VÄSTRA GÖTALANDS LÄN</t>
        </is>
      </c>
      <c r="G371" t="inlineStr">
        <is>
          <t>SVENLJUNGA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46326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47810-2024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46326</v>
      </c>
      <c r="F373" t="inlineStr">
        <is>
          <t>VÄSTRA GÖTALANDS LÄN</t>
        </is>
      </c>
      <c r="G373" t="inlineStr">
        <is>
          <t>SVENLJUNGA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45411</v>
      </c>
      <c r="E374" s="1" t="n">
        <v>46326</v>
      </c>
      <c r="F374" t="inlineStr">
        <is>
          <t>VÄSTRA GÖTALANDS LÄN</t>
        </is>
      </c>
      <c r="G374" t="inlineStr">
        <is>
          <t>SVENLJUNGA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46326</v>
      </c>
      <c r="F375" t="inlineStr">
        <is>
          <t>VÄSTRA GÖTALANDS LÄN</t>
        </is>
      </c>
      <c r="G375" t="inlineStr">
        <is>
          <t>SVENLJUNGA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46326</v>
      </c>
      <c r="F376" t="inlineStr">
        <is>
          <t>VÄSTRA GÖTALANDS LÄN</t>
        </is>
      </c>
      <c r="G376" t="inlineStr">
        <is>
          <t>SVENLJUNGA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46326</v>
      </c>
      <c r="F377" t="inlineStr">
        <is>
          <t>VÄSTRA GÖTALANDS LÄN</t>
        </is>
      </c>
      <c r="G377" t="inlineStr">
        <is>
          <t>SVENLJUNGA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45738</v>
      </c>
      <c r="E378" s="1" t="n">
        <v>46326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46326</v>
      </c>
      <c r="F379" t="inlineStr">
        <is>
          <t>VÄSTRA GÖTALANDS LÄN</t>
        </is>
      </c>
      <c r="G379" t="inlineStr">
        <is>
          <t>SVENLJUNGA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42611-2024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45565</v>
      </c>
      <c r="E380" s="1" t="n">
        <v>46326</v>
      </c>
      <c r="F380" t="inlineStr">
        <is>
          <t>VÄSTRA GÖTALANDS LÄN</t>
        </is>
      </c>
      <c r="G380" t="inlineStr">
        <is>
          <t>SVENLJUNGA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45357</v>
      </c>
      <c r="E381" s="1" t="n">
        <v>46326</v>
      </c>
      <c r="F381" t="inlineStr">
        <is>
          <t>VÄSTRA GÖTALANDS LÄN</t>
        </is>
      </c>
      <c r="G381" t="inlineStr">
        <is>
          <t>SVENLJUNGA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46326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45902</v>
      </c>
      <c r="E383" s="1" t="n">
        <v>46326</v>
      </c>
      <c r="F383" t="inlineStr">
        <is>
          <t>VÄSTRA GÖTALANDS LÄN</t>
        </is>
      </c>
      <c r="G383" t="inlineStr">
        <is>
          <t>SVENLJUNGA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46326</v>
      </c>
      <c r="F384" t="inlineStr">
        <is>
          <t>VÄSTRA GÖTALANDS LÄN</t>
        </is>
      </c>
      <c r="G384" t="inlineStr">
        <is>
          <t>SVENLJUNGA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46326</v>
      </c>
      <c r="F385" t="inlineStr">
        <is>
          <t>VÄSTRA GÖTALANDS LÄN</t>
        </is>
      </c>
      <c r="G385" t="inlineStr">
        <is>
          <t>SVENLJUNGA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46326</v>
      </c>
      <c r="F386" t="inlineStr">
        <is>
          <t>VÄSTRA GÖTALANDS LÄN</t>
        </is>
      </c>
      <c r="G386" t="inlineStr">
        <is>
          <t>SVENLJUNGA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46326</v>
      </c>
      <c r="F387" t="inlineStr">
        <is>
          <t>VÄSTRA GÖTALANDS LÄN</t>
        </is>
      </c>
      <c r="G387" t="inlineStr">
        <is>
          <t>SVENLJUNGA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46326</v>
      </c>
      <c r="F388" t="inlineStr">
        <is>
          <t>VÄSTRA GÖTALANDS LÄN</t>
        </is>
      </c>
      <c r="G388" t="inlineStr">
        <is>
          <t>SVENLJUNGA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46326</v>
      </c>
      <c r="F389" t="inlineStr">
        <is>
          <t>VÄSTRA GÖTALANDS LÄN</t>
        </is>
      </c>
      <c r="G389" t="inlineStr">
        <is>
          <t>SVENLJUNGA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46326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44987</v>
      </c>
      <c r="E391" s="1" t="n">
        <v>46326</v>
      </c>
      <c r="F391" t="inlineStr">
        <is>
          <t>VÄSTRA GÖTALANDS LÄN</t>
        </is>
      </c>
      <c r="G391" t="inlineStr">
        <is>
          <t>SVENLJUNGA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46326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46326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46326</v>
      </c>
      <c r="F394" t="inlineStr">
        <is>
          <t>VÄSTRA GÖTALANDS LÄN</t>
        </is>
      </c>
      <c r="G394" t="inlineStr">
        <is>
          <t>SVENLJUNGA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46326</v>
      </c>
      <c r="F395" t="inlineStr">
        <is>
          <t>VÄSTRA GÖTALANDS LÄN</t>
        </is>
      </c>
      <c r="G395" t="inlineStr">
        <is>
          <t>SVENLJUNGA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45474</v>
      </c>
      <c r="E396" s="1" t="n">
        <v>46326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Kommuner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46326</v>
      </c>
      <c r="F397" t="inlineStr">
        <is>
          <t>VÄSTRA GÖTALANDS LÄN</t>
        </is>
      </c>
      <c r="G397" t="inlineStr">
        <is>
          <t>SVENLJUNGA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46326</v>
      </c>
      <c r="F398" t="inlineStr">
        <is>
          <t>VÄSTRA GÖTALANDS LÄN</t>
        </is>
      </c>
      <c r="G398" t="inlineStr">
        <is>
          <t>SVENLJUNGA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36871-2024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45538</v>
      </c>
      <c r="E399" s="1" t="n">
        <v>46326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45785</v>
      </c>
      <c r="E400" s="1" t="n">
        <v>46326</v>
      </c>
      <c r="F400" t="inlineStr">
        <is>
          <t>VÄSTRA GÖTALANDS LÄN</t>
        </is>
      </c>
      <c r="G400" t="inlineStr">
        <is>
          <t>SVENLJUNGA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45420</v>
      </c>
      <c r="E401" s="1" t="n">
        <v>46326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46326</v>
      </c>
      <c r="F402" t="inlineStr">
        <is>
          <t>VÄSTRA GÖTALANDS LÄN</t>
        </is>
      </c>
      <c r="G402" t="inlineStr">
        <is>
          <t>SVENLJUNGA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31807-2025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45834</v>
      </c>
      <c r="E403" s="1" t="n">
        <v>46326</v>
      </c>
      <c r="F403" t="inlineStr">
        <is>
          <t>VÄSTRA GÖTALANDS LÄN</t>
        </is>
      </c>
      <c r="G403" t="inlineStr">
        <is>
          <t>SVENLJUNGA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46326</v>
      </c>
      <c r="F404" t="inlineStr">
        <is>
          <t>VÄSTRA GÖTALANDS LÄN</t>
        </is>
      </c>
      <c r="G404" t="inlineStr">
        <is>
          <t>SVENLJUNGA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46326</v>
      </c>
      <c r="F405" t="inlineStr">
        <is>
          <t>VÄSTRA GÖTALANDS LÄN</t>
        </is>
      </c>
      <c r="G405" t="inlineStr">
        <is>
          <t>SVENLJUNGA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46326</v>
      </c>
      <c r="F406" t="inlineStr">
        <is>
          <t>VÄSTRA GÖTALANDS LÄN</t>
        </is>
      </c>
      <c r="G406" t="inlineStr">
        <is>
          <t>SVENLJUNGA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46326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45588</v>
      </c>
      <c r="E408" s="1" t="n">
        <v>46326</v>
      </c>
      <c r="F408" t="inlineStr">
        <is>
          <t>VÄSTRA GÖTALANDS LÄN</t>
        </is>
      </c>
      <c r="G408" t="inlineStr">
        <is>
          <t>SVENLJUNGA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46326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46326</v>
      </c>
      <c r="F410" t="inlineStr">
        <is>
          <t>VÄSTRA GÖTALANDS LÄN</t>
        </is>
      </c>
      <c r="G410" t="inlineStr">
        <is>
          <t>SVENLJUNGA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46326</v>
      </c>
      <c r="F411" t="inlineStr">
        <is>
          <t>VÄSTRA GÖTALANDS LÄN</t>
        </is>
      </c>
      <c r="G411" t="inlineStr">
        <is>
          <t>SVENLJUNGA</t>
        </is>
      </c>
      <c r="H411" t="inlineStr">
        <is>
          <t>Kommuner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46326</v>
      </c>
      <c r="F412" t="inlineStr">
        <is>
          <t>VÄSTRA GÖTALANDS LÄN</t>
        </is>
      </c>
      <c r="G412" t="inlineStr">
        <is>
          <t>SVENLJUNGA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45518</v>
      </c>
      <c r="E413" s="1" t="n">
        <v>46326</v>
      </c>
      <c r="F413" t="inlineStr">
        <is>
          <t>VÄSTRA GÖTALANDS LÄN</t>
        </is>
      </c>
      <c r="G413" t="inlineStr">
        <is>
          <t>SVENLJUNGA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45069</v>
      </c>
      <c r="E414" s="1" t="n">
        <v>46326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46326</v>
      </c>
      <c r="F415" t="inlineStr">
        <is>
          <t>VÄSTRA GÖTALANDS LÄN</t>
        </is>
      </c>
      <c r="G415" t="inlineStr">
        <is>
          <t>SVENLJUNGA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46326</v>
      </c>
      <c r="F416" t="inlineStr">
        <is>
          <t>VÄSTRA GÖTALANDS LÄN</t>
        </is>
      </c>
      <c r="G416" t="inlineStr">
        <is>
          <t>SVENLJUNGA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46326</v>
      </c>
      <c r="F417" t="inlineStr">
        <is>
          <t>VÄSTRA GÖTALANDS LÄN</t>
        </is>
      </c>
      <c r="G417" t="inlineStr">
        <is>
          <t>SVENLJUNGA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44837</v>
      </c>
      <c r="E418" s="1" t="n">
        <v>46326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46326</v>
      </c>
      <c r="F419" t="inlineStr">
        <is>
          <t>VÄSTRA GÖTALANDS LÄN</t>
        </is>
      </c>
      <c r="G419" t="inlineStr">
        <is>
          <t>SVENLJUNGA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46326</v>
      </c>
      <c r="F420" t="inlineStr">
        <is>
          <t>VÄSTRA GÖTALANDS LÄN</t>
        </is>
      </c>
      <c r="G420" t="inlineStr">
        <is>
          <t>SVENLJUNGA</t>
        </is>
      </c>
      <c r="I420" t="n">
        <v>17.5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46326</v>
      </c>
      <c r="F421" t="inlineStr">
        <is>
          <t>VÄSTRA GÖTALANDS LÄN</t>
        </is>
      </c>
      <c r="G421" t="inlineStr">
        <is>
          <t>SVENLJUNGA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44574</v>
      </c>
      <c r="E422" s="1" t="n">
        <v>46326</v>
      </c>
      <c r="F422" t="inlineStr">
        <is>
          <t>VÄSTRA GÖTALANDS LÄN</t>
        </is>
      </c>
      <c r="G422" t="inlineStr">
        <is>
          <t>SVENLJUNGA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46326</v>
      </c>
      <c r="F423" t="inlineStr">
        <is>
          <t>VÄSTRA GÖTALANDS LÄN</t>
        </is>
      </c>
      <c r="G423" t="inlineStr">
        <is>
          <t>SVENLJUNGA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46326</v>
      </c>
      <c r="F424" t="inlineStr">
        <is>
          <t>VÄSTRA GÖTALANDS LÄN</t>
        </is>
      </c>
      <c r="G424" t="inlineStr">
        <is>
          <t>SVENLJUNGA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55206-2024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45621</v>
      </c>
      <c r="E425" s="1" t="n">
        <v>46326</v>
      </c>
      <c r="F425" t="inlineStr">
        <is>
          <t>VÄSTRA GÖTALANDS LÄN</t>
        </is>
      </c>
      <c r="G425" t="inlineStr">
        <is>
          <t>SVENLJUNGA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16383-2023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45029</v>
      </c>
      <c r="E426" s="1" t="n">
        <v>46326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9460-2023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44981</v>
      </c>
      <c r="E427" s="1" t="n">
        <v>46326</v>
      </c>
      <c r="F427" t="inlineStr">
        <is>
          <t>VÄSTRA GÖTALANDS LÄN</t>
        </is>
      </c>
      <c r="G427" t="inlineStr">
        <is>
          <t>SVENLJUNGA</t>
        </is>
      </c>
      <c r="I427" t="n">
        <v>12.7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46326</v>
      </c>
      <c r="F428" t="inlineStr">
        <is>
          <t>VÄSTRA GÖTALANDS LÄN</t>
        </is>
      </c>
      <c r="G428" t="inlineStr">
        <is>
          <t>SVENLJUNGA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46326</v>
      </c>
      <c r="F429" t="inlineStr">
        <is>
          <t>VÄSTRA GÖTALANDS LÄN</t>
        </is>
      </c>
      <c r="G429" t="inlineStr">
        <is>
          <t>SVENLJUNGA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44811</v>
      </c>
      <c r="E430" s="1" t="n">
        <v>46326</v>
      </c>
      <c r="F430" t="inlineStr">
        <is>
          <t>VÄSTRA GÖTALANDS LÄN</t>
        </is>
      </c>
      <c r="G430" t="inlineStr">
        <is>
          <t>SVENLJUNGA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46326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45370</v>
      </c>
      <c r="E432" s="1" t="n">
        <v>46326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11410-2024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45372</v>
      </c>
      <c r="E433" s="1" t="n">
        <v>46326</v>
      </c>
      <c r="F433" t="inlineStr">
        <is>
          <t>VÄSTRA GÖTALANDS LÄN</t>
        </is>
      </c>
      <c r="G433" t="inlineStr">
        <is>
          <t>SVENLJUNGA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46326</v>
      </c>
      <c r="F434" t="inlineStr">
        <is>
          <t>VÄSTRA GÖTALANDS LÄN</t>
        </is>
      </c>
      <c r="G434" t="inlineStr">
        <is>
          <t>SVENLJUNGA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46326</v>
      </c>
      <c r="F435" t="inlineStr">
        <is>
          <t>VÄSTRA GÖTALANDS LÄN</t>
        </is>
      </c>
      <c r="G435" t="inlineStr">
        <is>
          <t>SVENLJUNGA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46326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46326</v>
      </c>
      <c r="F437" t="inlineStr">
        <is>
          <t>VÄSTRA GÖTALANDS LÄN</t>
        </is>
      </c>
      <c r="G437" t="inlineStr">
        <is>
          <t>SVENLJUNGA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46326</v>
      </c>
      <c r="F438" t="inlineStr">
        <is>
          <t>VÄSTRA GÖTALANDS LÄN</t>
        </is>
      </c>
      <c r="G438" t="inlineStr">
        <is>
          <t>SVENLJUNGA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30361-2026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46209</v>
      </c>
      <c r="E439" s="1" t="n">
        <v>46326</v>
      </c>
      <c r="F439" t="inlineStr">
        <is>
          <t>VÄSTRA GÖTALANDS LÄN</t>
        </is>
      </c>
      <c r="G439" t="inlineStr">
        <is>
          <t>SVENLJUNGA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46326</v>
      </c>
      <c r="F440" t="inlineStr">
        <is>
          <t>VÄSTRA GÖTALANDS LÄN</t>
        </is>
      </c>
      <c r="G440" t="inlineStr">
        <is>
          <t>SVENLJUNGA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46326</v>
      </c>
      <c r="F441" t="inlineStr">
        <is>
          <t>VÄSTRA GÖTALANDS LÄN</t>
        </is>
      </c>
      <c r="G441" t="inlineStr">
        <is>
          <t>SVENLJUNGA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30355-2026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46209</v>
      </c>
      <c r="E442" s="1" t="n">
        <v>46326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46326</v>
      </c>
      <c r="F443" t="inlineStr">
        <is>
          <t>VÄSTRA GÖTALANDS LÄN</t>
        </is>
      </c>
      <c r="G443" t="inlineStr">
        <is>
          <t>SVENLJUNGA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44958</v>
      </c>
      <c r="E444" s="1" t="n">
        <v>46326</v>
      </c>
      <c r="F444" t="inlineStr">
        <is>
          <t>VÄSTRA GÖTALANDS LÄN</t>
        </is>
      </c>
      <c r="G444" t="inlineStr">
        <is>
          <t>SVENLJUNGA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45485</v>
      </c>
      <c r="E445" s="1" t="n">
        <v>46326</v>
      </c>
      <c r="F445" t="inlineStr">
        <is>
          <t>VÄSTRA GÖTALANDS LÄN</t>
        </is>
      </c>
      <c r="G445" t="inlineStr">
        <is>
          <t>SVENLJUNGA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43877-2024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46326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44953</v>
      </c>
      <c r="E447" s="1" t="n">
        <v>46326</v>
      </c>
      <c r="F447" t="inlineStr">
        <is>
          <t>VÄSTRA GÖTALANDS LÄN</t>
        </is>
      </c>
      <c r="G447" t="inlineStr">
        <is>
          <t>SVENLJUNGA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45391</v>
      </c>
      <c r="E448" s="1" t="n">
        <v>46326</v>
      </c>
      <c r="F448" t="inlineStr">
        <is>
          <t>VÄSTRA GÖTALANDS LÄN</t>
        </is>
      </c>
      <c r="G448" t="inlineStr">
        <is>
          <t>SVENLJUNGA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46326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45433</v>
      </c>
      <c r="E450" s="1" t="n">
        <v>46326</v>
      </c>
      <c r="F450" t="inlineStr">
        <is>
          <t>VÄSTRA GÖTALANDS LÄN</t>
        </is>
      </c>
      <c r="G450" t="inlineStr">
        <is>
          <t>SVENLJUNGA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46326</v>
      </c>
      <c r="F451" t="inlineStr">
        <is>
          <t>VÄSTRA GÖTALANDS LÄN</t>
        </is>
      </c>
      <c r="G451" t="inlineStr">
        <is>
          <t>SVENLJUNGA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46326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45609</v>
      </c>
      <c r="E453" s="1" t="n">
        <v>46326</v>
      </c>
      <c r="F453" t="inlineStr">
        <is>
          <t>VÄSTRA GÖTALANDS LÄN</t>
        </is>
      </c>
      <c r="G453" t="inlineStr">
        <is>
          <t>SVENLJUNGA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46326</v>
      </c>
      <c r="F454" t="inlineStr">
        <is>
          <t>VÄSTRA GÖTALANDS LÄN</t>
        </is>
      </c>
      <c r="G454" t="inlineStr">
        <is>
          <t>SVENLJUNGA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45720</v>
      </c>
      <c r="E455" s="1" t="n">
        <v>46326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47860-2022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44855</v>
      </c>
      <c r="E456" s="1" t="n">
        <v>46326</v>
      </c>
      <c r="F456" t="inlineStr">
        <is>
          <t>VÄSTRA GÖTALANDS LÄN</t>
        </is>
      </c>
      <c r="G456" t="inlineStr">
        <is>
          <t>SVENLJUNGA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46326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Kyrkan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46231</v>
      </c>
      <c r="E458" s="1" t="n">
        <v>46326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Kyrkan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46326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45544</v>
      </c>
      <c r="E460" s="1" t="n">
        <v>46326</v>
      </c>
      <c r="F460" t="inlineStr">
        <is>
          <t>VÄSTRA GÖTALANDS LÄN</t>
        </is>
      </c>
      <c r="G460" t="inlineStr">
        <is>
          <t>SVENLJUNGA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32748-2024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45516</v>
      </c>
      <c r="E461" s="1" t="n">
        <v>46326</v>
      </c>
      <c r="F461" t="inlineStr">
        <is>
          <t>VÄSTRA GÖTALANDS LÄN</t>
        </is>
      </c>
      <c r="G461" t="inlineStr">
        <is>
          <t>SVENLJUNGA</t>
        </is>
      </c>
      <c r="H461" t="inlineStr">
        <is>
          <t>Kommuner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46326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45491</v>
      </c>
      <c r="E463" s="1" t="n">
        <v>46326</v>
      </c>
      <c r="F463" t="inlineStr">
        <is>
          <t>VÄSTRA GÖTALANDS LÄN</t>
        </is>
      </c>
      <c r="G463" t="inlineStr">
        <is>
          <t>SVENLJUNGA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44950</v>
      </c>
      <c r="E464" s="1" t="n">
        <v>46326</v>
      </c>
      <c r="F464" t="inlineStr">
        <is>
          <t>VÄSTRA GÖTALANDS LÄN</t>
        </is>
      </c>
      <c r="G464" t="inlineStr">
        <is>
          <t>SVENLJUNGA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45400</v>
      </c>
      <c r="E465" s="1" t="n">
        <v>46326</v>
      </c>
      <c r="F465" t="inlineStr">
        <is>
          <t>VÄSTRA GÖTALANDS LÄN</t>
        </is>
      </c>
      <c r="G465" t="inlineStr">
        <is>
          <t>SVENLJUNGA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46637-2022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44849</v>
      </c>
      <c r="E466" s="1" t="n">
        <v>46326</v>
      </c>
      <c r="F466" t="inlineStr">
        <is>
          <t>VÄSTRA GÖTALANDS LÄN</t>
        </is>
      </c>
      <c r="G466" t="inlineStr">
        <is>
          <t>SVENLJUNGA</t>
        </is>
      </c>
      <c r="I466" t="n">
        <v>12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44785</v>
      </c>
      <c r="E467" s="1" t="n">
        <v>46326</v>
      </c>
      <c r="F467" t="inlineStr">
        <is>
          <t>VÄSTRA GÖTALANDS LÄN</t>
        </is>
      </c>
      <c r="G467" t="inlineStr">
        <is>
          <t>SVENLJUNGA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45736</v>
      </c>
      <c r="E468" s="1" t="n">
        <v>46326</v>
      </c>
      <c r="F468" t="inlineStr">
        <is>
          <t>VÄSTRA GÖTALANDS LÄN</t>
        </is>
      </c>
      <c r="G468" t="inlineStr">
        <is>
          <t>SVENLJUNGA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38743-2026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46286</v>
      </c>
      <c r="E469" s="1" t="n">
        <v>46326</v>
      </c>
      <c r="F469" t="inlineStr">
        <is>
          <t>VÄSTRA GÖTALANDS LÄN</t>
        </is>
      </c>
      <c r="G469" t="inlineStr">
        <is>
          <t>SVENLJUNGA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46286</v>
      </c>
      <c r="E470" s="1" t="n">
        <v>46326</v>
      </c>
      <c r="F470" t="inlineStr">
        <is>
          <t>VÄSTRA GÖTALANDS LÄN</t>
        </is>
      </c>
      <c r="G470" t="inlineStr">
        <is>
          <t>SVENLJUNGA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46326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Kommuner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45734</v>
      </c>
      <c r="E472" s="1" t="n">
        <v>46326</v>
      </c>
      <c r="F472" t="inlineStr">
        <is>
          <t>VÄSTRA GÖTALANDS LÄN</t>
        </is>
      </c>
      <c r="G472" t="inlineStr">
        <is>
          <t>SVENLJUNGA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46289</v>
      </c>
      <c r="E473" s="1" t="n">
        <v>46326</v>
      </c>
      <c r="F473" t="inlineStr">
        <is>
          <t>VÄSTRA GÖTALANDS LÄN</t>
        </is>
      </c>
      <c r="G473" t="inlineStr">
        <is>
          <t>SVENLJUNGA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7607-2025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45705</v>
      </c>
      <c r="E474" s="1" t="n">
        <v>46326</v>
      </c>
      <c r="F474" t="inlineStr">
        <is>
          <t>VÄSTRA GÖTALANDS LÄN</t>
        </is>
      </c>
      <c r="G474" t="inlineStr">
        <is>
          <t>SVENLJUNGA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6715-2024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46326</v>
      </c>
      <c r="F475" t="inlineStr">
        <is>
          <t>VÄSTRA GÖTALANDS LÄN</t>
        </is>
      </c>
      <c r="G475" t="inlineStr">
        <is>
          <t>SVENLJUNGA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33921-2024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45523</v>
      </c>
      <c r="E476" s="1" t="n">
        <v>46326</v>
      </c>
      <c r="F476" t="inlineStr">
        <is>
          <t>VÄSTRA GÖTALANDS LÄN</t>
        </is>
      </c>
      <c r="G476" t="inlineStr">
        <is>
          <t>SVENLJUNGA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40112-2026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46293</v>
      </c>
      <c r="E477" s="1" t="n">
        <v>46326</v>
      </c>
      <c r="F477" t="inlineStr">
        <is>
          <t>VÄSTRA GÖTALANDS LÄN</t>
        </is>
      </c>
      <c r="G477" t="inlineStr">
        <is>
          <t>SVENLJUNGA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21943-2025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45784</v>
      </c>
      <c r="E478" s="1" t="n">
        <v>46326</v>
      </c>
      <c r="F478" t="inlineStr">
        <is>
          <t>VÄSTRA GÖTALANDS LÄN</t>
        </is>
      </c>
      <c r="G478" t="inlineStr">
        <is>
          <t>SVENLJUNGA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25135-2023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45086</v>
      </c>
      <c r="E479" s="1" t="n">
        <v>46326</v>
      </c>
      <c r="F479" t="inlineStr">
        <is>
          <t>VÄSTRA GÖTALANDS LÄN</t>
        </is>
      </c>
      <c r="G479" t="inlineStr">
        <is>
          <t>SVENLJUNGA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46326</v>
      </c>
      <c r="F480" t="inlineStr">
        <is>
          <t>VÄSTRA GÖTALANDS LÄN</t>
        </is>
      </c>
      <c r="G480" t="inlineStr">
        <is>
          <t>SVENLJUNGA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46326</v>
      </c>
      <c r="F481" t="inlineStr">
        <is>
          <t>VÄSTRA GÖTALANDS LÄN</t>
        </is>
      </c>
      <c r="G481" t="inlineStr">
        <is>
          <t>SVENLJUNGA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57141-2024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46326</v>
      </c>
      <c r="F482" t="inlineStr">
        <is>
          <t>VÄSTRA GÖTALANDS LÄN</t>
        </is>
      </c>
      <c r="G482" t="inlineStr">
        <is>
          <t>SVENLJUNGA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12785-2024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45384</v>
      </c>
      <c r="E483" s="1" t="n">
        <v>46326</v>
      </c>
      <c r="F483" t="inlineStr">
        <is>
          <t>VÄSTRA GÖTALANDS LÄN</t>
        </is>
      </c>
      <c r="G483" t="inlineStr">
        <is>
          <t>SVENLJUNGA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43879-2024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45572</v>
      </c>
      <c r="E484" s="1" t="n">
        <v>46326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45531</v>
      </c>
      <c r="E485" s="1" t="n">
        <v>46326</v>
      </c>
      <c r="F485" t="inlineStr">
        <is>
          <t>VÄSTRA GÖTALANDS LÄN</t>
        </is>
      </c>
      <c r="G485" t="inlineStr">
        <is>
          <t>SVENLJUNGA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45791</v>
      </c>
      <c r="E486" s="1" t="n">
        <v>46326</v>
      </c>
      <c r="F486" t="inlineStr">
        <is>
          <t>VÄSTRA GÖTALANDS LÄN</t>
        </is>
      </c>
      <c r="G486" t="inlineStr">
        <is>
          <t>SVENLJUNGA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46294</v>
      </c>
      <c r="E487" s="1" t="n">
        <v>46326</v>
      </c>
      <c r="F487" t="inlineStr">
        <is>
          <t>VÄSTRA GÖTALANDS LÄN</t>
        </is>
      </c>
      <c r="G487" t="inlineStr">
        <is>
          <t>SVENLJUNGA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46286</v>
      </c>
      <c r="E488" s="1" t="n">
        <v>46326</v>
      </c>
      <c r="F488" t="inlineStr">
        <is>
          <t>VÄSTRA GÖTALANDS LÄN</t>
        </is>
      </c>
      <c r="G488" t="inlineStr">
        <is>
          <t>SVENLJUNGA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40331-2026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46294</v>
      </c>
      <c r="E489" s="1" t="n">
        <v>46326</v>
      </c>
      <c r="F489" t="inlineStr">
        <is>
          <t>VÄSTRA GÖTALANDS LÄN</t>
        </is>
      </c>
      <c r="G489" t="inlineStr">
        <is>
          <t>SVENLJUNGA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45266</v>
      </c>
      <c r="E490" s="1" t="n">
        <v>46326</v>
      </c>
      <c r="F490" t="inlineStr">
        <is>
          <t>VÄSTRA GÖTALANDS LÄN</t>
        </is>
      </c>
      <c r="G490" t="inlineStr">
        <is>
          <t>SVENLJUNGA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46326</v>
      </c>
      <c r="F491" t="inlineStr">
        <is>
          <t>VÄSTRA GÖTALANDS LÄN</t>
        </is>
      </c>
      <c r="G491" t="inlineStr">
        <is>
          <t>SVENLJUNGA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46326</v>
      </c>
      <c r="F492" t="inlineStr">
        <is>
          <t>VÄSTRA GÖTALANDS LÄN</t>
        </is>
      </c>
      <c r="G492" t="inlineStr">
        <is>
          <t>SVENLJUNGA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46326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46326</v>
      </c>
      <c r="F494" t="inlineStr">
        <is>
          <t>VÄSTRA GÖTALANDS LÄN</t>
        </is>
      </c>
      <c r="G494" t="inlineStr">
        <is>
          <t>SVENLJUNGA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33831-2026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46326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46326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46326</v>
      </c>
      <c r="F497" t="inlineStr">
        <is>
          <t>VÄSTRA GÖTALANDS LÄN</t>
        </is>
      </c>
      <c r="G497" t="inlineStr">
        <is>
          <t>SVENLJUNGA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40992-2026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46297</v>
      </c>
      <c r="E498" s="1" t="n">
        <v>46326</v>
      </c>
      <c r="F498" t="inlineStr">
        <is>
          <t>VÄSTRA GÖTALANDS LÄN</t>
        </is>
      </c>
      <c r="G498" t="inlineStr">
        <is>
          <t>SVENLJUNGA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26487-2026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46326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Kyrkan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46326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46301</v>
      </c>
      <c r="E501" s="1" t="n">
        <v>46326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46301</v>
      </c>
      <c r="E502" s="1" t="n">
        <v>46326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46326</v>
      </c>
      <c r="F503" t="inlineStr">
        <is>
          <t>VÄSTRA GÖTALANDS LÄN</t>
        </is>
      </c>
      <c r="G503" t="inlineStr">
        <is>
          <t>SVENLJUNGA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46326</v>
      </c>
      <c r="F504" t="inlineStr">
        <is>
          <t>VÄSTRA GÖTALANDS LÄN</t>
        </is>
      </c>
      <c r="G504" t="inlineStr">
        <is>
          <t>SVENLJUNGA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46306</v>
      </c>
      <c r="E505" s="1" t="n">
        <v>46326</v>
      </c>
      <c r="F505" t="inlineStr">
        <is>
          <t>VÄSTRA GÖTALANDS LÄN</t>
        </is>
      </c>
      <c r="G505" t="inlineStr">
        <is>
          <t>SVENLJUNGA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42122-2026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46304</v>
      </c>
      <c r="E506" s="1" t="n">
        <v>46326</v>
      </c>
      <c r="F506" t="inlineStr">
        <is>
          <t>VÄSTRA GÖTALANDS LÄN</t>
        </is>
      </c>
      <c r="G506" t="inlineStr">
        <is>
          <t>SVENLJUNGA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42129-2026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46304</v>
      </c>
      <c r="E507" s="1" t="n">
        <v>46326</v>
      </c>
      <c r="F507" t="inlineStr">
        <is>
          <t>VÄSTRA GÖTALANDS LÄN</t>
        </is>
      </c>
      <c r="G507" t="inlineStr">
        <is>
          <t>SVENLJUNGA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46326</v>
      </c>
      <c r="F508" t="inlineStr">
        <is>
          <t>VÄSTRA GÖTALANDS LÄN</t>
        </is>
      </c>
      <c r="G508" t="inlineStr">
        <is>
          <t>SVENLJUNGA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46326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46326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46326</v>
      </c>
      <c r="F511" t="inlineStr">
        <is>
          <t>VÄSTRA GÖTALANDS LÄN</t>
        </is>
      </c>
      <c r="G511" t="inlineStr">
        <is>
          <t>SVENLJUNGA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46326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43467-2026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46315</v>
      </c>
      <c r="E513" s="1" t="n">
        <v>46326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46326</v>
      </c>
      <c r="F514" t="inlineStr">
        <is>
          <t>VÄSTRA GÖTALANDS LÄN</t>
        </is>
      </c>
      <c r="G514" t="inlineStr">
        <is>
          <t>SVENLJUNGA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43460-2026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46315</v>
      </c>
      <c r="E515" s="1" t="n">
        <v>46326</v>
      </c>
      <c r="F515" t="inlineStr">
        <is>
          <t>VÄSTRA GÖTALANDS LÄN</t>
        </is>
      </c>
      <c r="G515" t="inlineStr">
        <is>
          <t>SVENLJUNGA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46326</v>
      </c>
      <c r="F516" t="inlineStr">
        <is>
          <t>VÄSTRA GÖTALANDS LÄN</t>
        </is>
      </c>
      <c r="G516" t="inlineStr">
        <is>
          <t>SVENLJUNGA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46326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46326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46326</v>
      </c>
      <c r="F519" t="inlineStr">
        <is>
          <t>VÄSTRA GÖTALANDS LÄN</t>
        </is>
      </c>
      <c r="G519" t="inlineStr">
        <is>
          <t>SVENLJUNGA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46274</v>
      </c>
      <c r="E520" s="1" t="n">
        <v>46326</v>
      </c>
      <c r="F520" t="inlineStr">
        <is>
          <t>VÄSTRA GÖTALANDS LÄN</t>
        </is>
      </c>
      <c r="G520" t="inlineStr">
        <is>
          <t>SVENLJUNGA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46274</v>
      </c>
      <c r="E521" s="1" t="n">
        <v>46326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36980-2026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46273</v>
      </c>
      <c r="E522" s="1" t="n">
        <v>46326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Sveaskog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45993</v>
      </c>
      <c r="E523" s="1" t="n">
        <v>46326</v>
      </c>
      <c r="F523" t="inlineStr">
        <is>
          <t>VÄSTRA GÖTALANDS LÄN</t>
        </is>
      </c>
      <c r="G523" t="inlineStr">
        <is>
          <t>SVENLJUNGA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45742</v>
      </c>
      <c r="E524" s="1" t="n">
        <v>46326</v>
      </c>
      <c r="F524" t="inlineStr">
        <is>
          <t>VÄSTRA GÖTALANDS LÄN</t>
        </is>
      </c>
      <c r="G524" t="inlineStr">
        <is>
          <t>SVENLJUNGA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8142-2026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46326</v>
      </c>
      <c r="F525" t="inlineStr">
        <is>
          <t>VÄSTRA GÖTALANDS LÄN</t>
        </is>
      </c>
      <c r="G525" t="inlineStr">
        <is>
          <t>SVENLJUNGA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46326</v>
      </c>
      <c r="F526" t="inlineStr">
        <is>
          <t>VÄSTRA GÖTALANDS LÄN</t>
        </is>
      </c>
      <c r="G526" t="inlineStr">
        <is>
          <t>SVENLJUNGA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44326-2026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46321</v>
      </c>
      <c r="E527" s="1" t="n">
        <v>46326</v>
      </c>
      <c r="F527" t="inlineStr">
        <is>
          <t>VÄSTRA GÖTALANDS LÄN</t>
        </is>
      </c>
      <c r="G527" t="inlineStr">
        <is>
          <t>SVENLJUNGA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46322</v>
      </c>
      <c r="E528" s="1" t="n">
        <v>46326</v>
      </c>
      <c r="F528" t="inlineStr">
        <is>
          <t>VÄSTRA GÖTALANDS LÄN</t>
        </is>
      </c>
      <c r="G528" t="inlineStr">
        <is>
          <t>SVENLJUNGA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46326</v>
      </c>
      <c r="F529" t="inlineStr">
        <is>
          <t>VÄSTRA GÖTALANDS LÄN</t>
        </is>
      </c>
      <c r="G529" t="inlineStr">
        <is>
          <t>SVENLJUNGA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46326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44860-2026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46323</v>
      </c>
      <c r="E531" s="1" t="n">
        <v>46326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Kyrkan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44783-2026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46322</v>
      </c>
      <c r="E532" s="1" t="n">
        <v>46326</v>
      </c>
      <c r="F532" t="inlineStr">
        <is>
          <t>VÄSTRA GÖTALANDS LÄN</t>
        </is>
      </c>
      <c r="G532" t="inlineStr">
        <is>
          <t>SVENLJUNGA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46326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46326</v>
      </c>
      <c r="F534" t="inlineStr">
        <is>
          <t>VÄSTRA GÖTALANDS LÄN</t>
        </is>
      </c>
      <c r="G534" t="inlineStr">
        <is>
          <t>SVENLJUNGA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46325</v>
      </c>
      <c r="E535" s="1" t="n">
        <v>46326</v>
      </c>
      <c r="F535" t="inlineStr">
        <is>
          <t>VÄSTRA GÖTALANDS LÄN</t>
        </is>
      </c>
      <c r="G535" t="inlineStr">
        <is>
          <t>SVENLJUNGA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46326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46326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46326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1514-2024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46326</v>
      </c>
      <c r="F539" t="inlineStr">
        <is>
          <t>VÄSTRA GÖTALANDS LÄN</t>
        </is>
      </c>
      <c r="G539" t="inlineStr">
        <is>
          <t>SVENLJUNGA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46326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46326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46326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46326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46326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46326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46326</v>
      </c>
      <c r="F546" t="inlineStr">
        <is>
          <t>VÄSTRA GÖTALANDS LÄN</t>
        </is>
      </c>
      <c r="G546" t="inlineStr">
        <is>
          <t>SVENLJUNGA</t>
        </is>
      </c>
      <c r="I546" t="n">
        <v>66.59999999999999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4336-2022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44782</v>
      </c>
      <c r="E547" s="1" t="n">
        <v>46326</v>
      </c>
      <c r="F547" t="inlineStr">
        <is>
          <t>VÄSTRA GÖTALANDS LÄN</t>
        </is>
      </c>
      <c r="G547" t="inlineStr">
        <is>
          <t>SVENLJUNGA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46326</v>
      </c>
      <c r="F548" t="inlineStr">
        <is>
          <t>VÄSTRA GÖTALANDS LÄN</t>
        </is>
      </c>
      <c r="G548" t="inlineStr">
        <is>
          <t>SVENLJUNGA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46326</v>
      </c>
      <c r="F549" t="inlineStr">
        <is>
          <t>VÄSTRA GÖTALANDS LÄN</t>
        </is>
      </c>
      <c r="G549" t="inlineStr">
        <is>
          <t>SVENLJUNGA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947-2023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45002</v>
      </c>
      <c r="E550" s="1" t="n">
        <v>46326</v>
      </c>
      <c r="F550" t="inlineStr">
        <is>
          <t>VÄSTRA GÖTALANDS LÄN</t>
        </is>
      </c>
      <c r="G550" t="inlineStr">
        <is>
          <t>SVENLJUNGA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785-2024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45369</v>
      </c>
      <c r="E551" s="1" t="n">
        <v>46326</v>
      </c>
      <c r="F551" t="inlineStr">
        <is>
          <t>VÄSTRA GÖTALANDS LÄN</t>
        </is>
      </c>
      <c r="G551" t="inlineStr">
        <is>
          <t>SVENLJUNGA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1014-2023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45008</v>
      </c>
      <c r="E552" s="1" t="n">
        <v>46326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2793-2022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44706</v>
      </c>
      <c r="E553" s="1" t="n">
        <v>46326</v>
      </c>
      <c r="F553" t="inlineStr">
        <is>
          <t>VÄSTRA GÖTALANDS LÄN</t>
        </is>
      </c>
      <c r="G553" t="inlineStr">
        <is>
          <t>SVENLJUNGA</t>
        </is>
      </c>
      <c r="I553" t="n">
        <v>22.9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2944-2022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44712</v>
      </c>
      <c r="E554" s="1" t="n">
        <v>46326</v>
      </c>
      <c r="F554" t="inlineStr">
        <is>
          <t>VÄSTRA GÖTALANDS LÄN</t>
        </is>
      </c>
      <c r="G554" t="inlineStr">
        <is>
          <t>SVENLJUNGA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829-2023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44993</v>
      </c>
      <c r="E555" s="1" t="n">
        <v>46326</v>
      </c>
      <c r="F555" t="inlineStr">
        <is>
          <t>VÄSTRA GÖTALANDS LÄN</t>
        </is>
      </c>
      <c r="G555" t="inlineStr">
        <is>
          <t>SVENLJUNGA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1507-2024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46326</v>
      </c>
      <c r="F556" t="inlineStr">
        <is>
          <t>VÄSTRA GÖTALANDS LÄN</t>
        </is>
      </c>
      <c r="G556" t="inlineStr">
        <is>
          <t>SVENLJUNGA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1109-2023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45015</v>
      </c>
      <c r="E557" s="1" t="n">
        <v>46326</v>
      </c>
      <c r="F557" t="inlineStr">
        <is>
          <t>VÄSTRA GÖTALANDS LÄN</t>
        </is>
      </c>
      <c r="G557" t="inlineStr">
        <is>
          <t>SVENLJUNGA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2882-2022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44711</v>
      </c>
      <c r="E558" s="1" t="n">
        <v>46326</v>
      </c>
      <c r="F558" t="inlineStr">
        <is>
          <t>VÄSTRA GÖTALANDS LÄN</t>
        </is>
      </c>
      <c r="G558" t="inlineStr">
        <is>
          <t>SVENLJUNGA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10476-2021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46326</v>
      </c>
      <c r="F559" t="inlineStr">
        <is>
          <t>VÄSTRA GÖTALANDS LÄN</t>
        </is>
      </c>
      <c r="G559" t="inlineStr">
        <is>
          <t>SVENLJUNGA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1510-2024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46326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668-2023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44980</v>
      </c>
      <c r="E561" s="1" t="n">
        <v>46326</v>
      </c>
      <c r="F561" t="inlineStr">
        <is>
          <t>VÄSTRA GÖTALANDS LÄN</t>
        </is>
      </c>
      <c r="G561" t="inlineStr">
        <is>
          <t>SVENLJUNGA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830-2023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44990</v>
      </c>
      <c r="E562" s="1" t="n">
        <v>46326</v>
      </c>
      <c r="F562" t="inlineStr">
        <is>
          <t>VÄSTRA GÖTALANDS LÄN</t>
        </is>
      </c>
      <c r="G562" t="inlineStr">
        <is>
          <t>SVENLJUNGA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1844-2022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44658</v>
      </c>
      <c r="E563" s="1" t="n">
        <v>46326</v>
      </c>
      <c r="F563" t="inlineStr">
        <is>
          <t>VÄSTRA GÖTALANDS LÄN</t>
        </is>
      </c>
      <c r="G563" t="inlineStr">
        <is>
          <t>SVENLJUNGA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46326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46326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46326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10475-2021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44559</v>
      </c>
      <c r="E567" s="1" t="n">
        <v>46326</v>
      </c>
      <c r="F567" t="inlineStr">
        <is>
          <t>VÄSTRA GÖTALANDS LÄN</t>
        </is>
      </c>
      <c r="G567" t="inlineStr">
        <is>
          <t>SVENLJUNGA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46326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46326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46326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46326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46326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2898-2022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44711</v>
      </c>
      <c r="E573" s="1" t="n">
        <v>46326</v>
      </c>
      <c r="F573" t="inlineStr">
        <is>
          <t>VÄSTRA GÖTALANDS LÄN</t>
        </is>
      </c>
      <c r="G573" t="inlineStr">
        <is>
          <t>SVENLJUNGA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1015-2023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45008</v>
      </c>
      <c r="E574" s="1" t="n">
        <v>46326</v>
      </c>
      <c r="F574" t="inlineStr">
        <is>
          <t>VÄSTRA GÖTALANDS LÄN</t>
        </is>
      </c>
      <c r="G574" t="inlineStr">
        <is>
          <t>SVENLJUNGA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584-2023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44974</v>
      </c>
      <c r="E575" s="1" t="n">
        <v>46326</v>
      </c>
      <c r="F575" t="inlineStr">
        <is>
          <t>VÄSTRA GÖTALANDS LÄN</t>
        </is>
      </c>
      <c r="G575" t="inlineStr">
        <is>
          <t>SVENLJUNGA</t>
        </is>
      </c>
      <c r="I575" t="n">
        <v>13.7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2035-2022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44671</v>
      </c>
      <c r="E576" s="1" t="n">
        <v>46326</v>
      </c>
      <c r="F576" t="inlineStr">
        <is>
          <t>VÄSTRA GÖTALANDS LÄN</t>
        </is>
      </c>
      <c r="G576" t="inlineStr">
        <is>
          <t>SVENLJUNGA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46326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46326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46326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46326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46326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46326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46326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2181-2025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45853</v>
      </c>
      <c r="E584" s="1" t="n">
        <v>46326</v>
      </c>
      <c r="F584" t="inlineStr">
        <is>
          <t>VÄSTRA GÖTALANDS LÄN</t>
        </is>
      </c>
      <c r="G584" t="inlineStr">
        <is>
          <t>SVENLJUNGA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2347-2025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45888</v>
      </c>
      <c r="E585" s="1" t="n">
        <v>46326</v>
      </c>
      <c r="F585" t="inlineStr">
        <is>
          <t>VÄSTRA GÖTALANDS LÄN</t>
        </is>
      </c>
      <c r="G585" t="inlineStr">
        <is>
          <t>SVENLJUNGA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2378-2025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45891</v>
      </c>
      <c r="E586" s="1" t="n">
        <v>46326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Övriga Aktiebolag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341-2025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45693</v>
      </c>
      <c r="E587" s="1" t="n">
        <v>46326</v>
      </c>
      <c r="F587" t="inlineStr">
        <is>
          <t>VÄSTRA GÖTALANDS LÄN</t>
        </is>
      </c>
      <c r="G587" t="inlineStr">
        <is>
          <t>SVENLJUNGA</t>
        </is>
      </c>
      <c r="I587" t="n">
        <v>28.3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2732-2024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45483</v>
      </c>
      <c r="E588" s="1" t="n">
        <v>46326</v>
      </c>
      <c r="F588" t="inlineStr">
        <is>
          <t>VÄSTRA GÖTALANDS LÄN</t>
        </is>
      </c>
      <c r="G588" t="inlineStr">
        <is>
          <t>SVENLJUNGA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556-2026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46326</v>
      </c>
      <c r="F589" t="inlineStr">
        <is>
          <t>VÄSTRA GÖTALANDS LÄN</t>
        </is>
      </c>
      <c r="G589" t="inlineStr">
        <is>
          <t>SVENLJUNGA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557-2026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46326</v>
      </c>
      <c r="F590" t="inlineStr">
        <is>
          <t>VÄSTRA GÖTALANDS LÄN</t>
        </is>
      </c>
      <c r="G590" t="inlineStr">
        <is>
          <t>SVENLJUNGA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46326</v>
      </c>
      <c r="F591" t="inlineStr">
        <is>
          <t>VÄSTRA GÖTALANDS LÄN</t>
        </is>
      </c>
      <c r="G591" t="inlineStr">
        <is>
          <t>SVENLJUNGA</t>
        </is>
      </c>
      <c r="I591" t="n">
        <v>36.5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561-2026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46326</v>
      </c>
      <c r="F592" t="inlineStr">
        <is>
          <t>VÄSTRA GÖTALANDS LÄN</t>
        </is>
      </c>
      <c r="G592" t="inlineStr">
        <is>
          <t>SVENLJUNGA</t>
        </is>
      </c>
      <c r="I592" t="n">
        <v>18.1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46326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46326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46326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994-2026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46119</v>
      </c>
      <c r="E596" s="1" t="n">
        <v>46326</v>
      </c>
      <c r="F596" t="inlineStr">
        <is>
          <t>VÄSTRA GÖTALANDS LÄN</t>
        </is>
      </c>
      <c r="G596" t="inlineStr">
        <is>
          <t>SVENLJUNGA</t>
        </is>
      </c>
      <c r="I596" t="n">
        <v>21.2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1990-2026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46206</v>
      </c>
      <c r="E597" s="1" t="n">
        <v>46326</v>
      </c>
      <c r="F597" t="inlineStr">
        <is>
          <t>VÄSTRA GÖTALANDS LÄN</t>
        </is>
      </c>
      <c r="G597" t="inlineStr">
        <is>
          <t>SVENLJUNGA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46326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46326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2552-2026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46294</v>
      </c>
      <c r="E600" s="1" t="n">
        <v>46326</v>
      </c>
      <c r="F600" t="inlineStr">
        <is>
          <t>VÄSTRA GÖTALANDS LÄN</t>
        </is>
      </c>
      <c r="G600" t="inlineStr">
        <is>
          <t>SVENLJUNGA</t>
        </is>
      </c>
      <c r="I600" t="n">
        <v>16.4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2708-2026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46314</v>
      </c>
      <c r="E601" s="1" t="n">
        <v>46326</v>
      </c>
      <c r="F601" t="inlineStr">
        <is>
          <t>VÄSTRA GÖTALANDS LÄN</t>
        </is>
      </c>
      <c r="G601" t="inlineStr">
        <is>
          <t>SVENLJUNGA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2331-2026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46273</v>
      </c>
      <c r="E602" s="1" t="n">
        <v>46326</v>
      </c>
      <c r="F602" t="inlineStr">
        <is>
          <t>VÄSTRA GÖTALANDS LÄN</t>
        </is>
      </c>
      <c r="G602" t="inlineStr">
        <is>
          <t>SVENLJUNGA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2026-10-31T03:26:12Z</dcterms:created>
  <dcterms:modified xmlns:dcterms="http://purl.org/dc/terms/" xmlns:xsi="http://www.w3.org/2001/XMLSchema-instance" xsi:type="dcterms:W3CDTF">2026-10-31T03:26:12Z</dcterms:modified>
</cp:coreProperties>
</file>