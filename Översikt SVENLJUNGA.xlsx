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45737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45737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45737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45737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45737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45737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45737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HYPERLINK("https://klasma.github.io/Logging_1465/artfynd/A 13261-2025 artfynd.xlsx", "A 13261-2025")</f>
        <v/>
      </c>
      <c r="T8">
        <f>HYPERLINK("https://klasma.github.io/Logging_1465/kartor/A 13261-2025 karta.png", "A 13261-2025")</f>
        <v/>
      </c>
      <c r="V8">
        <f>HYPERLINK("https://klasma.github.io/Logging_1465/klagomål/A 13261-2025 FSC-klagomål.docx", "A 13261-2025")</f>
        <v/>
      </c>
      <c r="W8">
        <f>HYPERLINK("https://klasma.github.io/Logging_1465/klagomålsmail/A 13261-2025 FSC-klagomål mail.docx", "A 13261-2025")</f>
        <v/>
      </c>
      <c r="X8">
        <f>HYPERLINK("https://klasma.github.io/Logging_1465/tillsyn/A 13261-2025 tillsynsbegäran.docx", "A 13261-2025")</f>
        <v/>
      </c>
      <c r="Y8">
        <f>HYPERLINK("https://klasma.github.io/Logging_1465/tillsynsmail/A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45737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45737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45737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45737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8701-2022</t>
        </is>
      </c>
      <c r="B13" s="1" t="n">
        <v>44613</v>
      </c>
      <c r="C13" s="1" t="n">
        <v>45737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8701-2022 artfynd.xlsx", "A 8701-2022")</f>
        <v/>
      </c>
      <c r="T13">
        <f>HYPERLINK("https://klasma.github.io/Logging_1465/kartor/A 8701-2022 karta.png", "A 8701-2022")</f>
        <v/>
      </c>
      <c r="V13">
        <f>HYPERLINK("https://klasma.github.io/Logging_1465/klagomål/A 8701-2022 FSC-klagomål.docx", "A 8701-2022")</f>
        <v/>
      </c>
      <c r="W13">
        <f>HYPERLINK("https://klasma.github.io/Logging_1465/klagomålsmail/A 8701-2022 FSC-klagomål mail.docx", "A 8701-2022")</f>
        <v/>
      </c>
      <c r="X13">
        <f>HYPERLINK("https://klasma.github.io/Logging_1465/tillsyn/A 8701-2022 tillsynsbegäran.docx", "A 8701-2022")</f>
        <v/>
      </c>
      <c r="Y13">
        <f>HYPERLINK("https://klasma.github.io/Logging_1465/tillsynsmail/A 8701-2022 tillsynsbegäran mail.docx", "A 8701-2022")</f>
        <v/>
      </c>
    </row>
    <row r="14" ht="15" customHeight="1">
      <c r="A14" t="inlineStr">
        <is>
          <t>A 8697-2022</t>
        </is>
      </c>
      <c r="B14" s="1" t="n">
        <v>44613</v>
      </c>
      <c r="C14" s="1" t="n">
        <v>45737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8697-2022 artfynd.xlsx", "A 8697-2022")</f>
        <v/>
      </c>
      <c r="T14">
        <f>HYPERLINK("https://klasma.github.io/Logging_1465/kartor/A 8697-2022 karta.png", "A 8697-2022")</f>
        <v/>
      </c>
      <c r="V14">
        <f>HYPERLINK("https://klasma.github.io/Logging_1465/klagomål/A 8697-2022 FSC-klagomål.docx", "A 8697-2022")</f>
        <v/>
      </c>
      <c r="W14">
        <f>HYPERLINK("https://klasma.github.io/Logging_1465/klagomålsmail/A 8697-2022 FSC-klagomål mail.docx", "A 8697-2022")</f>
        <v/>
      </c>
      <c r="X14">
        <f>HYPERLINK("https://klasma.github.io/Logging_1465/tillsyn/A 8697-2022 tillsynsbegäran.docx", "A 8697-2022")</f>
        <v/>
      </c>
      <c r="Y14">
        <f>HYPERLINK("https://klasma.github.io/Logging_1465/tillsynsmail/A 8697-2022 tillsynsbegäran mail.docx", "A 8697-2022")</f>
        <v/>
      </c>
    </row>
    <row r="15" ht="15" customHeight="1">
      <c r="A15" t="inlineStr">
        <is>
          <t>A 30771-2022</t>
        </is>
      </c>
      <c r="B15" s="1" t="n">
        <v>44764</v>
      </c>
      <c r="C15" s="1" t="n">
        <v>45737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HYPERLINK("https://klasma.github.io/Logging_1465/artfynd/A 30771-2022 artfynd.xlsx", "A 30771-2022")</f>
        <v/>
      </c>
      <c r="T15">
        <f>HYPERLINK("https://klasma.github.io/Logging_1465/kartor/A 30771-2022 karta.png", "A 30771-2022")</f>
        <v/>
      </c>
      <c r="V15">
        <f>HYPERLINK("https://klasma.github.io/Logging_1465/klagomål/A 30771-2022 FSC-klagomål.docx", "A 30771-2022")</f>
        <v/>
      </c>
      <c r="W15">
        <f>HYPERLINK("https://klasma.github.io/Logging_1465/klagomålsmail/A 30771-2022 FSC-klagomål mail.docx", "A 30771-2022")</f>
        <v/>
      </c>
      <c r="X15">
        <f>HYPERLINK("https://klasma.github.io/Logging_1465/tillsyn/A 30771-2022 tillsynsbegäran.docx", "A 30771-2022")</f>
        <v/>
      </c>
      <c r="Y15">
        <f>HYPERLINK("https://klasma.github.io/Logging_1465/tillsynsmail/A 30771-2022 tillsynsbegäran mail.docx", "A 30771-2022")</f>
        <v/>
      </c>
    </row>
    <row r="16" ht="15" customHeight="1">
      <c r="A16" t="inlineStr">
        <is>
          <t>A 4246-2024</t>
        </is>
      </c>
      <c r="B16" s="1" t="n">
        <v>45324</v>
      </c>
      <c r="C16" s="1" t="n">
        <v>45737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HYPERLINK("https://klasma.github.io/Logging_1465/artfynd/A 4246-2024 artfynd.xlsx", "A 4246-2024")</f>
        <v/>
      </c>
      <c r="T16">
        <f>HYPERLINK("https://klasma.github.io/Logging_1465/kartor/A 4246-2024 karta.png", "A 4246-2024")</f>
        <v/>
      </c>
      <c r="V16">
        <f>HYPERLINK("https://klasma.github.io/Logging_1465/klagomål/A 4246-2024 FSC-klagomål.docx", "A 4246-2024")</f>
        <v/>
      </c>
      <c r="W16">
        <f>HYPERLINK("https://klasma.github.io/Logging_1465/klagomålsmail/A 4246-2024 FSC-klagomål mail.docx", "A 4246-2024")</f>
        <v/>
      </c>
      <c r="X16">
        <f>HYPERLINK("https://klasma.github.io/Logging_1465/tillsyn/A 4246-2024 tillsynsbegäran.docx", "A 4246-2024")</f>
        <v/>
      </c>
      <c r="Y16">
        <f>HYPERLINK("https://klasma.github.io/Logging_1465/tillsynsmail/A 4246-2024 tillsynsbegäran mail.docx", "A 4246-2024")</f>
        <v/>
      </c>
    </row>
    <row r="17" ht="15" customHeight="1">
      <c r="A17" t="inlineStr">
        <is>
          <t>A 7185-2024</t>
        </is>
      </c>
      <c r="B17" s="1" t="n">
        <v>45344</v>
      </c>
      <c r="C17" s="1" t="n">
        <v>45737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HYPERLINK("https://klasma.github.io/Logging_1465/artfynd/A 7185-2024 artfynd.xlsx", "A 7185-2024")</f>
        <v/>
      </c>
      <c r="T17">
        <f>HYPERLINK("https://klasma.github.io/Logging_1465/kartor/A 7185-2024 karta.png", "A 7185-2024")</f>
        <v/>
      </c>
      <c r="V17">
        <f>HYPERLINK("https://klasma.github.io/Logging_1465/klagomål/A 7185-2024 FSC-klagomål.docx", "A 7185-2024")</f>
        <v/>
      </c>
      <c r="W17">
        <f>HYPERLINK("https://klasma.github.io/Logging_1465/klagomålsmail/A 7185-2024 FSC-klagomål mail.docx", "A 7185-2024")</f>
        <v/>
      </c>
      <c r="X17">
        <f>HYPERLINK("https://klasma.github.io/Logging_1465/tillsyn/A 7185-2024 tillsynsbegäran.docx", "A 7185-2024")</f>
        <v/>
      </c>
      <c r="Y17">
        <f>HYPERLINK("https://klasma.github.io/Logging_1465/tillsynsmail/A 7185-2024 tillsynsbegäran mail.docx", "A 7185-2024")</f>
        <v/>
      </c>
    </row>
    <row r="18" ht="15" customHeight="1">
      <c r="A18" t="inlineStr">
        <is>
          <t>A 9635-2024</t>
        </is>
      </c>
      <c r="B18" s="1" t="n">
        <v>45362</v>
      </c>
      <c r="C18" s="1" t="n">
        <v>45737</v>
      </c>
      <c r="D18" t="inlineStr">
        <is>
          <t>VÄSTRA GÖTALANDS LÄN</t>
        </is>
      </c>
      <c r="E18" t="inlineStr">
        <is>
          <t>SVENLJUNGA</t>
        </is>
      </c>
      <c r="G18" t="n">
        <v>8.9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Almlav</t>
        </is>
      </c>
      <c r="S18">
        <f>HYPERLINK("https://klasma.github.io/Logging_1465/artfynd/A 9635-2024 artfynd.xlsx", "A 9635-2024")</f>
        <v/>
      </c>
      <c r="T18">
        <f>HYPERLINK("https://klasma.github.io/Logging_1465/kartor/A 9635-2024 karta.png", "A 9635-2024")</f>
        <v/>
      </c>
      <c r="V18">
        <f>HYPERLINK("https://klasma.github.io/Logging_1465/klagomål/A 9635-2024 FSC-klagomål.docx", "A 9635-2024")</f>
        <v/>
      </c>
      <c r="W18">
        <f>HYPERLINK("https://klasma.github.io/Logging_1465/klagomålsmail/A 9635-2024 FSC-klagomål mail.docx", "A 9635-2024")</f>
        <v/>
      </c>
      <c r="X18">
        <f>HYPERLINK("https://klasma.github.io/Logging_1465/tillsyn/A 9635-2024 tillsynsbegäran.docx", "A 9635-2024")</f>
        <v/>
      </c>
      <c r="Y18">
        <f>HYPERLINK("https://klasma.github.io/Logging_1465/tillsynsmail/A 9635-2024 tillsynsbegäran mail.docx", "A 9635-2024")</f>
        <v/>
      </c>
    </row>
    <row r="19" ht="15" customHeight="1">
      <c r="A19" t="inlineStr">
        <is>
          <t>A 12025-2024</t>
        </is>
      </c>
      <c r="B19" s="1" t="n">
        <v>45377</v>
      </c>
      <c r="C19" s="1" t="n">
        <v>45737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Sveaskog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HYPERLINK("https://klasma.github.io/Logging_1465/artfynd/A 12025-2024 artfynd.xlsx", "A 12025-2024")</f>
        <v/>
      </c>
      <c r="T19">
        <f>HYPERLINK("https://klasma.github.io/Logging_1465/kartor/A 12025-2024 karta.png", "A 12025-2024")</f>
        <v/>
      </c>
      <c r="V19">
        <f>HYPERLINK("https://klasma.github.io/Logging_1465/klagomål/A 12025-2024 FSC-klagomål.docx", "A 12025-2024")</f>
        <v/>
      </c>
      <c r="W19">
        <f>HYPERLINK("https://klasma.github.io/Logging_1465/klagomålsmail/A 12025-2024 FSC-klagomål mail.docx", "A 12025-2024")</f>
        <v/>
      </c>
      <c r="X19">
        <f>HYPERLINK("https://klasma.github.io/Logging_1465/tillsyn/A 12025-2024 tillsynsbegäran.docx", "A 12025-2024")</f>
        <v/>
      </c>
      <c r="Y19">
        <f>HYPERLINK("https://klasma.github.io/Logging_1465/tillsynsmail/A 12025-2024 tillsynsbegäran mail.docx", "A 12025-2024")</f>
        <v/>
      </c>
      <c r="Z19">
        <f>HYPERLINK("https://klasma.github.io/Logging_1465/fåglar/A 12025-2024 prioriterade fågelarter.docx", "A 12025-2024")</f>
        <v/>
      </c>
    </row>
    <row r="20" ht="15" customHeight="1">
      <c r="A20" t="inlineStr">
        <is>
          <t>A 26712-2024</t>
        </is>
      </c>
      <c r="B20" s="1" t="n">
        <v>45470</v>
      </c>
      <c r="C20" s="1" t="n">
        <v>45737</v>
      </c>
      <c r="D20" t="inlineStr">
        <is>
          <t>VÄSTRA GÖTALANDS LÄN</t>
        </is>
      </c>
      <c r="E20" t="inlineStr">
        <is>
          <t>SVENLJUNGA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26712-2024 artfynd.xlsx", "A 26712-2024")</f>
        <v/>
      </c>
      <c r="T20">
        <f>HYPERLINK("https://klasma.github.io/Logging_1465/kartor/A 26712-2024 karta.png", "A 26712-2024")</f>
        <v/>
      </c>
      <c r="V20">
        <f>HYPERLINK("https://klasma.github.io/Logging_1465/klagomål/A 26712-2024 FSC-klagomål.docx", "A 26712-2024")</f>
        <v/>
      </c>
      <c r="W20">
        <f>HYPERLINK("https://klasma.github.io/Logging_1465/klagomålsmail/A 26712-2024 FSC-klagomål mail.docx", "A 26712-2024")</f>
        <v/>
      </c>
      <c r="X20">
        <f>HYPERLINK("https://klasma.github.io/Logging_1465/tillsyn/A 26712-2024 tillsynsbegäran.docx", "A 26712-2024")</f>
        <v/>
      </c>
      <c r="Y20">
        <f>HYPERLINK("https://klasma.github.io/Logging_1465/tillsynsmail/A 26712-2024 tillsynsbegäran mail.docx", "A 26712-2024")</f>
        <v/>
      </c>
    </row>
    <row r="21" ht="15" customHeight="1">
      <c r="A21" t="inlineStr">
        <is>
          <t>A 42900-2024</t>
        </is>
      </c>
      <c r="B21" s="1" t="n">
        <v>45566</v>
      </c>
      <c r="C21" s="1" t="n">
        <v>45737</v>
      </c>
      <c r="D21" t="inlineStr">
        <is>
          <t>VÄSTRA GÖTALANDS LÄN</t>
        </is>
      </c>
      <c r="E21" t="inlineStr">
        <is>
          <t>SVENLJUNGA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42900-2024 artfynd.xlsx", "A 42900-2024")</f>
        <v/>
      </c>
      <c r="T21">
        <f>HYPERLINK("https://klasma.github.io/Logging_1465/kartor/A 42900-2024 karta.png", "A 42900-2024")</f>
        <v/>
      </c>
      <c r="V21">
        <f>HYPERLINK("https://klasma.github.io/Logging_1465/klagomål/A 42900-2024 FSC-klagomål.docx", "A 42900-2024")</f>
        <v/>
      </c>
      <c r="W21">
        <f>HYPERLINK("https://klasma.github.io/Logging_1465/klagomålsmail/A 42900-2024 FSC-klagomål mail.docx", "A 42900-2024")</f>
        <v/>
      </c>
      <c r="X21">
        <f>HYPERLINK("https://klasma.github.io/Logging_1465/tillsyn/A 42900-2024 tillsynsbegäran.docx", "A 42900-2024")</f>
        <v/>
      </c>
      <c r="Y21">
        <f>HYPERLINK("https://klasma.github.io/Logging_1465/tillsynsmail/A 42900-2024 tillsynsbegäran mail.docx", "A 42900-2024")</f>
        <v/>
      </c>
    </row>
    <row r="22" ht="15" customHeight="1">
      <c r="A22" t="inlineStr">
        <is>
          <t>A 52369-2024</t>
        </is>
      </c>
      <c r="B22" s="1" t="n">
        <v>45609</v>
      </c>
      <c r="C22" s="1" t="n">
        <v>45737</v>
      </c>
      <c r="D22" t="inlineStr">
        <is>
          <t>VÄSTRA GÖTALANDS LÄN</t>
        </is>
      </c>
      <c r="E22" t="inlineStr">
        <is>
          <t>SVENLJUNGA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HYPERLINK("https://klasma.github.io/Logging_1465/artfynd/A 52369-2024 artfynd.xlsx", "A 52369-2024")</f>
        <v/>
      </c>
      <c r="T22">
        <f>HYPERLINK("https://klasma.github.io/Logging_1465/kartor/A 52369-2024 karta.png", "A 52369-2024")</f>
        <v/>
      </c>
      <c r="V22">
        <f>HYPERLINK("https://klasma.github.io/Logging_1465/klagomål/A 52369-2024 FSC-klagomål.docx", "A 52369-2024")</f>
        <v/>
      </c>
      <c r="W22">
        <f>HYPERLINK("https://klasma.github.io/Logging_1465/klagomålsmail/A 52369-2024 FSC-klagomål mail.docx", "A 52369-2024")</f>
        <v/>
      </c>
      <c r="X22">
        <f>HYPERLINK("https://klasma.github.io/Logging_1465/tillsyn/A 52369-2024 tillsynsbegäran.docx", "A 52369-2024")</f>
        <v/>
      </c>
      <c r="Y22">
        <f>HYPERLINK("https://klasma.github.io/Logging_1465/tillsynsmail/A 52369-2024 tillsynsbegäran mail.docx", "A 52369-2024")</f>
        <v/>
      </c>
    </row>
    <row r="23" ht="15" customHeight="1">
      <c r="A23" t="inlineStr">
        <is>
          <t>A 10944-2025</t>
        </is>
      </c>
      <c r="B23" s="1" t="n">
        <v>45723</v>
      </c>
      <c r="C23" s="1" t="n">
        <v>45737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6.2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HYPERLINK("https://klasma.github.io/Logging_1465/artfynd/A 10944-2025 artfynd.xlsx", "A 10944-2025")</f>
        <v/>
      </c>
      <c r="T23">
        <f>HYPERLINK("https://klasma.github.io/Logging_1465/kartor/A 10944-2025 karta.png", "A 10944-2025")</f>
        <v/>
      </c>
      <c r="V23">
        <f>HYPERLINK("https://klasma.github.io/Logging_1465/klagomål/A 10944-2025 FSC-klagomål.docx", "A 10944-2025")</f>
        <v/>
      </c>
      <c r="W23">
        <f>HYPERLINK("https://klasma.github.io/Logging_1465/klagomålsmail/A 10944-2025 FSC-klagomål mail.docx", "A 10944-2025")</f>
        <v/>
      </c>
      <c r="X23">
        <f>HYPERLINK("https://klasma.github.io/Logging_1465/tillsyn/A 10944-2025 tillsynsbegäran.docx", "A 10944-2025")</f>
        <v/>
      </c>
      <c r="Y23">
        <f>HYPERLINK("https://klasma.github.io/Logging_1465/tillsynsmail/A 10944-2025 tillsynsbegäran mail.docx", "A 10944-2025")</f>
        <v/>
      </c>
    </row>
    <row r="24" ht="15" customHeight="1">
      <c r="A24" t="inlineStr">
        <is>
          <t>A 18154-2019</t>
        </is>
      </c>
      <c r="B24" s="1" t="n">
        <v>43558</v>
      </c>
      <c r="C24" s="1" t="n">
        <v>45737</v>
      </c>
      <c r="D24" t="inlineStr">
        <is>
          <t>VÄSTRA GÖTALANDS LÄN</t>
        </is>
      </c>
      <c r="E24" t="inlineStr">
        <is>
          <t>SVENLJUNGA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18568-2019</t>
        </is>
      </c>
      <c r="B25" s="1" t="n">
        <v>43559</v>
      </c>
      <c r="C25" s="1" t="n">
        <v>45737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18567-2019</t>
        </is>
      </c>
      <c r="B26" s="1" t="n">
        <v>43559</v>
      </c>
      <c r="C26" s="1" t="n">
        <v>45737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18622-2019</t>
        </is>
      </c>
      <c r="B27" s="1" t="n">
        <v>43560</v>
      </c>
      <c r="C27" s="1" t="n">
        <v>45737</v>
      </c>
      <c r="D27" t="inlineStr">
        <is>
          <t>VÄSTRA GÖTALANDS LÄN</t>
        </is>
      </c>
      <c r="E27" t="inlineStr">
        <is>
          <t>SVENLJUNGA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19345-2019</t>
        </is>
      </c>
      <c r="B28" s="1" t="n">
        <v>43565</v>
      </c>
      <c r="C28" s="1" t="n">
        <v>45737</v>
      </c>
      <c r="D28" t="inlineStr">
        <is>
          <t>VÄSTRA GÖTALANDS LÄN</t>
        </is>
      </c>
      <c r="E28" t="inlineStr">
        <is>
          <t>SVENLJUNGA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19346-2019</t>
        </is>
      </c>
      <c r="B29" s="1" t="n">
        <v>43565</v>
      </c>
      <c r="C29" s="1" t="n">
        <v>45737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19366-2019</t>
        </is>
      </c>
      <c r="B30" s="1" t="n">
        <v>43565</v>
      </c>
      <c r="C30" s="1" t="n">
        <v>45737</v>
      </c>
      <c r="D30" t="inlineStr">
        <is>
          <t>VÄSTRA GÖTALANDS LÄN</t>
        </is>
      </c>
      <c r="E30" t="inlineStr">
        <is>
          <t>SVENLJUNGA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20613-2019</t>
        </is>
      </c>
      <c r="B31" s="1" t="n">
        <v>43572</v>
      </c>
      <c r="C31" s="1" t="n">
        <v>45737</v>
      </c>
      <c r="D31" t="inlineStr">
        <is>
          <t>VÄSTRA GÖTALANDS LÄN</t>
        </is>
      </c>
      <c r="E31" t="inlineStr">
        <is>
          <t>SVENLJUNGA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22110-2019</t>
        </is>
      </c>
      <c r="B32" s="1" t="n">
        <v>43585</v>
      </c>
      <c r="C32" s="1" t="n">
        <v>45737</v>
      </c>
      <c r="D32" t="inlineStr">
        <is>
          <t>VÄSTRA GÖTALANDS LÄN</t>
        </is>
      </c>
      <c r="E32" t="inlineStr">
        <is>
          <t>SVENLJUNGA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22715-2019</t>
        </is>
      </c>
      <c r="B33" s="1" t="n">
        <v>43588</v>
      </c>
      <c r="C33" s="1" t="n">
        <v>45737</v>
      </c>
      <c r="D33" t="inlineStr">
        <is>
          <t>VÄSTRA GÖTALANDS LÄN</t>
        </is>
      </c>
      <c r="E33" t="inlineStr">
        <is>
          <t>SVENLJUNGA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23054-2019</t>
        </is>
      </c>
      <c r="B34" s="1" t="n">
        <v>43591</v>
      </c>
      <c r="C34" s="1" t="n">
        <v>45737</v>
      </c>
      <c r="D34" t="inlineStr">
        <is>
          <t>VÄSTRA GÖTALANDS LÄN</t>
        </is>
      </c>
      <c r="E34" t="inlineStr">
        <is>
          <t>SVENLJUNGA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23115-2019</t>
        </is>
      </c>
      <c r="B35" s="1" t="n">
        <v>43592</v>
      </c>
      <c r="C35" s="1" t="n">
        <v>45737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24331-2019</t>
        </is>
      </c>
      <c r="B36" s="1" t="n">
        <v>43599</v>
      </c>
      <c r="C36" s="1" t="n">
        <v>45737</v>
      </c>
      <c r="D36" t="inlineStr">
        <is>
          <t>VÄSTRA GÖTALANDS LÄN</t>
        </is>
      </c>
      <c r="E36" t="inlineStr">
        <is>
          <t>SVENLJUNGA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24319-2019</t>
        </is>
      </c>
      <c r="B37" s="1" t="n">
        <v>43599</v>
      </c>
      <c r="C37" s="1" t="n">
        <v>45737</v>
      </c>
      <c r="D37" t="inlineStr">
        <is>
          <t>VÄSTRA GÖTALANDS LÄN</t>
        </is>
      </c>
      <c r="E37" t="inlineStr">
        <is>
          <t>SVENLJUNGA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24830-2019</t>
        </is>
      </c>
      <c r="B38" s="1" t="n">
        <v>43599</v>
      </c>
      <c r="C38" s="1" t="n">
        <v>45737</v>
      </c>
      <c r="D38" t="inlineStr">
        <is>
          <t>VÄSTRA GÖTALANDS LÄN</t>
        </is>
      </c>
      <c r="E38" t="inlineStr">
        <is>
          <t>SVENLJUNGA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24338-2019</t>
        </is>
      </c>
      <c r="B39" s="1" t="n">
        <v>43599</v>
      </c>
      <c r="C39" s="1" t="n">
        <v>45737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26228-2019</t>
        </is>
      </c>
      <c r="B40" s="1" t="n">
        <v>43609</v>
      </c>
      <c r="C40" s="1" t="n">
        <v>45737</v>
      </c>
      <c r="D40" t="inlineStr">
        <is>
          <t>VÄSTRA GÖTALANDS LÄN</t>
        </is>
      </c>
      <c r="E40" t="inlineStr">
        <is>
          <t>SVENLJUNGA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26975-2019</t>
        </is>
      </c>
      <c r="B41" s="1" t="n">
        <v>43609</v>
      </c>
      <c r="C41" s="1" t="n">
        <v>45737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27826-2019</t>
        </is>
      </c>
      <c r="B42" s="1" t="n">
        <v>43620</v>
      </c>
      <c r="C42" s="1" t="n">
        <v>45737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27825-2019</t>
        </is>
      </c>
      <c r="B43" s="1" t="n">
        <v>43620</v>
      </c>
      <c r="C43" s="1" t="n">
        <v>45737</v>
      </c>
      <c r="D43" t="inlineStr">
        <is>
          <t>VÄSTRA GÖTALANDS LÄN</t>
        </is>
      </c>
      <c r="E43" t="inlineStr">
        <is>
          <t>SVENLJUNGA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28478-2019</t>
        </is>
      </c>
      <c r="B44" s="1" t="n">
        <v>43626</v>
      </c>
      <c r="C44" s="1" t="n">
        <v>45737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28485-2019</t>
        </is>
      </c>
      <c r="B45" s="1" t="n">
        <v>43626</v>
      </c>
      <c r="C45" s="1" t="n">
        <v>45737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30245-2019</t>
        </is>
      </c>
      <c r="B46" s="1" t="n">
        <v>43634</v>
      </c>
      <c r="C46" s="1" t="n">
        <v>45737</v>
      </c>
      <c r="D46" t="inlineStr">
        <is>
          <t>VÄSTRA GÖTALANDS LÄN</t>
        </is>
      </c>
      <c r="E46" t="inlineStr">
        <is>
          <t>SVENLJUNGA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32269-2019</t>
        </is>
      </c>
      <c r="B47" s="1" t="n">
        <v>43644</v>
      </c>
      <c r="C47" s="1" t="n">
        <v>45737</v>
      </c>
      <c r="D47" t="inlineStr">
        <is>
          <t>VÄSTRA GÖTALANDS LÄN</t>
        </is>
      </c>
      <c r="E47" t="inlineStr">
        <is>
          <t>SVENLJUNGA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32302-2019</t>
        </is>
      </c>
      <c r="B48" s="1" t="n">
        <v>43644</v>
      </c>
      <c r="C48" s="1" t="n">
        <v>45737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32290-2019</t>
        </is>
      </c>
      <c r="B49" s="1" t="n">
        <v>43644</v>
      </c>
      <c r="C49" s="1" t="n">
        <v>45737</v>
      </c>
      <c r="D49" t="inlineStr">
        <is>
          <t>VÄSTRA GÖTALANDS LÄN</t>
        </is>
      </c>
      <c r="E49" t="inlineStr">
        <is>
          <t>SVENLJUNGA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32279-2019</t>
        </is>
      </c>
      <c r="B50" s="1" t="n">
        <v>43644</v>
      </c>
      <c r="C50" s="1" t="n">
        <v>45737</v>
      </c>
      <c r="D50" t="inlineStr">
        <is>
          <t>VÄSTRA GÖTALANDS LÄN</t>
        </is>
      </c>
      <c r="E50" t="inlineStr">
        <is>
          <t>SVENLJUNGA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34414-2019</t>
        </is>
      </c>
      <c r="B51" s="1" t="n">
        <v>43647</v>
      </c>
      <c r="C51" s="1" t="n">
        <v>45737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34379-2019</t>
        </is>
      </c>
      <c r="B52" s="1" t="n">
        <v>43647</v>
      </c>
      <c r="C52" s="1" t="n">
        <v>45737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34759-2019</t>
        </is>
      </c>
      <c r="B53" s="1" t="n">
        <v>43658</v>
      </c>
      <c r="C53" s="1" t="n">
        <v>45737</v>
      </c>
      <c r="D53" t="inlineStr">
        <is>
          <t>VÄSTRA GÖTALANDS LÄN</t>
        </is>
      </c>
      <c r="E53" t="inlineStr">
        <is>
          <t>SVENLJUNGA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37059-2019</t>
        </is>
      </c>
      <c r="B54" s="1" t="n">
        <v>43676</v>
      </c>
      <c r="C54" s="1" t="n">
        <v>45737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37068-2019</t>
        </is>
      </c>
      <c r="B55" s="1" t="n">
        <v>43676</v>
      </c>
      <c r="C55" s="1" t="n">
        <v>45737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37061-2019</t>
        </is>
      </c>
      <c r="B56" s="1" t="n">
        <v>43676</v>
      </c>
      <c r="C56" s="1" t="n">
        <v>45737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37067-2019</t>
        </is>
      </c>
      <c r="B57" s="1" t="n">
        <v>43676</v>
      </c>
      <c r="C57" s="1" t="n">
        <v>45737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40885-2019</t>
        </is>
      </c>
      <c r="B58" s="1" t="n">
        <v>43697</v>
      </c>
      <c r="C58" s="1" t="n">
        <v>45737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41549-2019</t>
        </is>
      </c>
      <c r="B59" s="1" t="n">
        <v>43699</v>
      </c>
      <c r="C59" s="1" t="n">
        <v>45737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43032-2019</t>
        </is>
      </c>
      <c r="B60" s="1" t="n">
        <v>43705</v>
      </c>
      <c r="C60" s="1" t="n">
        <v>45737</v>
      </c>
      <c r="D60" t="inlineStr">
        <is>
          <t>VÄSTRA GÖTALANDS LÄN</t>
        </is>
      </c>
      <c r="E60" t="inlineStr">
        <is>
          <t>SVENLJUNGA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43431-2019</t>
        </is>
      </c>
      <c r="B61" s="1" t="n">
        <v>43706</v>
      </c>
      <c r="C61" s="1" t="n">
        <v>45737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47309-2019</t>
        </is>
      </c>
      <c r="B62" s="1" t="n">
        <v>43721</v>
      </c>
      <c r="C62" s="1" t="n">
        <v>45737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48674-2019</t>
        </is>
      </c>
      <c r="B63" s="1" t="n">
        <v>43728</v>
      </c>
      <c r="C63" s="1" t="n">
        <v>45737</v>
      </c>
      <c r="D63" t="inlineStr">
        <is>
          <t>VÄSTRA GÖTALANDS LÄN</t>
        </is>
      </c>
      <c r="E63" t="inlineStr">
        <is>
          <t>SVENLJUNGA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48660-2019</t>
        </is>
      </c>
      <c r="B64" s="1" t="n">
        <v>43728</v>
      </c>
      <c r="C64" s="1" t="n">
        <v>45737</v>
      </c>
      <c r="D64" t="inlineStr">
        <is>
          <t>VÄSTRA GÖTALANDS LÄN</t>
        </is>
      </c>
      <c r="E64" t="inlineStr">
        <is>
          <t>SVENLJUNGA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49730-2019</t>
        </is>
      </c>
      <c r="B65" s="1" t="n">
        <v>43733</v>
      </c>
      <c r="C65" s="1" t="n">
        <v>45737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52548-2019</t>
        </is>
      </c>
      <c r="B66" s="1" t="n">
        <v>43745</v>
      </c>
      <c r="C66" s="1" t="n">
        <v>45737</v>
      </c>
      <c r="D66" t="inlineStr">
        <is>
          <t>VÄSTRA GÖTALANDS LÄN</t>
        </is>
      </c>
      <c r="E66" t="inlineStr">
        <is>
          <t>SVENLJUNGA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55163-2019</t>
        </is>
      </c>
      <c r="B67" s="1" t="n">
        <v>43756</v>
      </c>
      <c r="C67" s="1" t="n">
        <v>45737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55406-2019</t>
        </is>
      </c>
      <c r="B68" s="1" t="n">
        <v>43758</v>
      </c>
      <c r="C68" s="1" t="n">
        <v>45737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55454-2019</t>
        </is>
      </c>
      <c r="B69" s="1" t="n">
        <v>43760</v>
      </c>
      <c r="C69" s="1" t="n">
        <v>45737</v>
      </c>
      <c r="D69" t="inlineStr">
        <is>
          <t>VÄSTRA GÖTALANDS LÄN</t>
        </is>
      </c>
      <c r="E69" t="inlineStr">
        <is>
          <t>SVENLJUNGA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55907-2019</t>
        </is>
      </c>
      <c r="B70" s="1" t="n">
        <v>43761</v>
      </c>
      <c r="C70" s="1" t="n">
        <v>45737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56219-2019</t>
        </is>
      </c>
      <c r="B71" s="1" t="n">
        <v>43762</v>
      </c>
      <c r="C71" s="1" t="n">
        <v>45737</v>
      </c>
      <c r="D71" t="inlineStr">
        <is>
          <t>VÄSTRA GÖTALANDS LÄN</t>
        </is>
      </c>
      <c r="E71" t="inlineStr">
        <is>
          <t>SVENLJUNGA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58200-2019</t>
        </is>
      </c>
      <c r="B72" s="1" t="n">
        <v>43770</v>
      </c>
      <c r="C72" s="1" t="n">
        <v>45737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58385-2019</t>
        </is>
      </c>
      <c r="B73" s="1" t="n">
        <v>43771</v>
      </c>
      <c r="C73" s="1" t="n">
        <v>45737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58469-2019</t>
        </is>
      </c>
      <c r="B74" s="1" t="n">
        <v>43773</v>
      </c>
      <c r="C74" s="1" t="n">
        <v>45737</v>
      </c>
      <c r="D74" t="inlineStr">
        <is>
          <t>VÄSTRA GÖTALANDS LÄN</t>
        </is>
      </c>
      <c r="E74" t="inlineStr">
        <is>
          <t>SVENLJUNGA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60272-2019</t>
        </is>
      </c>
      <c r="B75" s="1" t="n">
        <v>43780</v>
      </c>
      <c r="C75" s="1" t="n">
        <v>45737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60271-2019</t>
        </is>
      </c>
      <c r="B76" s="1" t="n">
        <v>43780</v>
      </c>
      <c r="C76" s="1" t="n">
        <v>45737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60927-2019</t>
        </is>
      </c>
      <c r="B77" s="1" t="n">
        <v>43780</v>
      </c>
      <c r="C77" s="1" t="n">
        <v>45737</v>
      </c>
      <c r="D77" t="inlineStr">
        <is>
          <t>VÄSTRA GÖTALANDS LÄN</t>
        </is>
      </c>
      <c r="E77" t="inlineStr">
        <is>
          <t>SVENLJUNGA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60970-2019</t>
        </is>
      </c>
      <c r="B78" s="1" t="n">
        <v>43782</v>
      </c>
      <c r="C78" s="1" t="n">
        <v>45737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61121-2019</t>
        </is>
      </c>
      <c r="B79" s="1" t="n">
        <v>43782</v>
      </c>
      <c r="C79" s="1" t="n">
        <v>45737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62279-2019</t>
        </is>
      </c>
      <c r="B80" s="1" t="n">
        <v>43788</v>
      </c>
      <c r="C80" s="1" t="n">
        <v>45737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62280-2019</t>
        </is>
      </c>
      <c r="B81" s="1" t="n">
        <v>43788</v>
      </c>
      <c r="C81" s="1" t="n">
        <v>45737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62283-2019</t>
        </is>
      </c>
      <c r="B82" s="1" t="n">
        <v>43788</v>
      </c>
      <c r="C82" s="1" t="n">
        <v>45737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62891-2019</t>
        </is>
      </c>
      <c r="B83" s="1" t="n">
        <v>43790</v>
      </c>
      <c r="C83" s="1" t="n">
        <v>45737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63088-2019</t>
        </is>
      </c>
      <c r="B84" s="1" t="n">
        <v>43791</v>
      </c>
      <c r="C84" s="1" t="n">
        <v>45737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63828-2019</t>
        </is>
      </c>
      <c r="B85" s="1" t="n">
        <v>43795</v>
      </c>
      <c r="C85" s="1" t="n">
        <v>45737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64652-2019</t>
        </is>
      </c>
      <c r="B86" s="1" t="n">
        <v>43798</v>
      </c>
      <c r="C86" s="1" t="n">
        <v>45737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64663-2019</t>
        </is>
      </c>
      <c r="B87" s="1" t="n">
        <v>43798</v>
      </c>
      <c r="C87" s="1" t="n">
        <v>45737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64681-2019</t>
        </is>
      </c>
      <c r="B88" s="1" t="n">
        <v>43798</v>
      </c>
      <c r="C88" s="1" t="n">
        <v>45737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65519-2019</t>
        </is>
      </c>
      <c r="B89" s="1" t="n">
        <v>43803</v>
      </c>
      <c r="C89" s="1" t="n">
        <v>45737</v>
      </c>
      <c r="D89" t="inlineStr">
        <is>
          <t>VÄSTRA GÖTALANDS LÄN</t>
        </is>
      </c>
      <c r="E89" t="inlineStr">
        <is>
          <t>SVENLJUNGA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65524-2019</t>
        </is>
      </c>
      <c r="B90" s="1" t="n">
        <v>43803</v>
      </c>
      <c r="C90" s="1" t="n">
        <v>45737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65700-2019</t>
        </is>
      </c>
      <c r="B91" s="1" t="n">
        <v>43804</v>
      </c>
      <c r="C91" s="1" t="n">
        <v>45737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68100-2019</t>
        </is>
      </c>
      <c r="B92" s="1" t="n">
        <v>43817</v>
      </c>
      <c r="C92" s="1" t="n">
        <v>45737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68452-2019</t>
        </is>
      </c>
      <c r="B93" s="1" t="n">
        <v>43818</v>
      </c>
      <c r="C93" s="1" t="n">
        <v>45737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15-2020</t>
        </is>
      </c>
      <c r="B94" s="1" t="n">
        <v>43832</v>
      </c>
      <c r="C94" s="1" t="n">
        <v>45737</v>
      </c>
      <c r="D94" t="inlineStr">
        <is>
          <t>VÄSTRA GÖTALANDS LÄN</t>
        </is>
      </c>
      <c r="E94" t="inlineStr">
        <is>
          <t>SVENLJUNGA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3597-2020</t>
        </is>
      </c>
      <c r="B95" s="1" t="n">
        <v>43853</v>
      </c>
      <c r="C95" s="1" t="n">
        <v>45737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6594-2020</t>
        </is>
      </c>
      <c r="B96" s="1" t="n">
        <v>43867</v>
      </c>
      <c r="C96" s="1" t="n">
        <v>45737</v>
      </c>
      <c r="D96" t="inlineStr">
        <is>
          <t>VÄSTRA GÖTALANDS LÄN</t>
        </is>
      </c>
      <c r="E96" t="inlineStr">
        <is>
          <t>SVENLJUNGA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6896-2020</t>
        </is>
      </c>
      <c r="B97" s="1" t="n">
        <v>43868</v>
      </c>
      <c r="C97" s="1" t="n">
        <v>45737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6817-2020</t>
        </is>
      </c>
      <c r="B98" s="1" t="n">
        <v>43868</v>
      </c>
      <c r="C98" s="1" t="n">
        <v>45737</v>
      </c>
      <c r="D98" t="inlineStr">
        <is>
          <t>VÄSTRA GÖTALANDS LÄN</t>
        </is>
      </c>
      <c r="E98" t="inlineStr">
        <is>
          <t>SVENLJUNGA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6952-2020</t>
        </is>
      </c>
      <c r="B99" s="1" t="n">
        <v>43868</v>
      </c>
      <c r="C99" s="1" t="n">
        <v>45737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7855-2020</t>
        </is>
      </c>
      <c r="B100" s="1" t="n">
        <v>43873</v>
      </c>
      <c r="C100" s="1" t="n">
        <v>45737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10115-2020</t>
        </is>
      </c>
      <c r="B101" s="1" t="n">
        <v>43887</v>
      </c>
      <c r="C101" s="1" t="n">
        <v>45737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11265-2020</t>
        </is>
      </c>
      <c r="B102" s="1" t="n">
        <v>43892</v>
      </c>
      <c r="C102" s="1" t="n">
        <v>45737</v>
      </c>
      <c r="D102" t="inlineStr">
        <is>
          <t>VÄSTRA GÖTALANDS LÄN</t>
        </is>
      </c>
      <c r="E102" t="inlineStr">
        <is>
          <t>SVENLJUNGA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11732-2020</t>
        </is>
      </c>
      <c r="B103" s="1" t="n">
        <v>43894</v>
      </c>
      <c r="C103" s="1" t="n">
        <v>45737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13022-2020</t>
        </is>
      </c>
      <c r="B104" s="1" t="n">
        <v>43900</v>
      </c>
      <c r="C104" s="1" t="n">
        <v>45737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13392-2020</t>
        </is>
      </c>
      <c r="B105" s="1" t="n">
        <v>43902</v>
      </c>
      <c r="C105" s="1" t="n">
        <v>45737</v>
      </c>
      <c r="D105" t="inlineStr">
        <is>
          <t>VÄSTRA GÖTALANDS LÄN</t>
        </is>
      </c>
      <c r="E105" t="inlineStr">
        <is>
          <t>SVENLJUNGA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13397-2020</t>
        </is>
      </c>
      <c r="B106" s="1" t="n">
        <v>43902</v>
      </c>
      <c r="C106" s="1" t="n">
        <v>45737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15164-2020</t>
        </is>
      </c>
      <c r="B107" s="1" t="n">
        <v>43912</v>
      </c>
      <c r="C107" s="1" t="n">
        <v>45737</v>
      </c>
      <c r="D107" t="inlineStr">
        <is>
          <t>VÄSTRA GÖTALANDS LÄN</t>
        </is>
      </c>
      <c r="E107" t="inlineStr">
        <is>
          <t>SVENLJUNGA</t>
        </is>
      </c>
      <c r="G107" t="n">
        <v>16.4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15425-2020</t>
        </is>
      </c>
      <c r="B108" s="1" t="n">
        <v>43914</v>
      </c>
      <c r="C108" s="1" t="n">
        <v>45737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15662-2020</t>
        </is>
      </c>
      <c r="B109" s="1" t="n">
        <v>43915</v>
      </c>
      <c r="C109" s="1" t="n">
        <v>45737</v>
      </c>
      <c r="D109" t="inlineStr">
        <is>
          <t>VÄSTRA GÖTALANDS LÄN</t>
        </is>
      </c>
      <c r="E109" t="inlineStr">
        <is>
          <t>SVENLJUNGA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15655-2020</t>
        </is>
      </c>
      <c r="B110" s="1" t="n">
        <v>43915</v>
      </c>
      <c r="C110" s="1" t="n">
        <v>45737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15686-2020</t>
        </is>
      </c>
      <c r="B111" s="1" t="n">
        <v>43915</v>
      </c>
      <c r="C111" s="1" t="n">
        <v>45737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16504-2020</t>
        </is>
      </c>
      <c r="B112" s="1" t="n">
        <v>43920</v>
      </c>
      <c r="C112" s="1" t="n">
        <v>45737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17247-2020</t>
        </is>
      </c>
      <c r="B113" s="1" t="n">
        <v>43922</v>
      </c>
      <c r="C113" s="1" t="n">
        <v>45737</v>
      </c>
      <c r="D113" t="inlineStr">
        <is>
          <t>VÄSTRA GÖTALANDS LÄN</t>
        </is>
      </c>
      <c r="E113" t="inlineStr">
        <is>
          <t>SVENLJUNGA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17471-2020</t>
        </is>
      </c>
      <c r="B114" s="1" t="n">
        <v>43923</v>
      </c>
      <c r="C114" s="1" t="n">
        <v>45737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17675-2020</t>
        </is>
      </c>
      <c r="B115" s="1" t="n">
        <v>43923</v>
      </c>
      <c r="C115" s="1" t="n">
        <v>45737</v>
      </c>
      <c r="D115" t="inlineStr">
        <is>
          <t>VÄSTRA GÖTALANDS LÄN</t>
        </is>
      </c>
      <c r="E115" t="inlineStr">
        <is>
          <t>SVENLJUNGA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18801-2020</t>
        </is>
      </c>
      <c r="B116" s="1" t="n">
        <v>43933</v>
      </c>
      <c r="C116" s="1" t="n">
        <v>45737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19283-2020</t>
        </is>
      </c>
      <c r="B117" s="1" t="n">
        <v>43937</v>
      </c>
      <c r="C117" s="1" t="n">
        <v>45737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20675-2020</t>
        </is>
      </c>
      <c r="B118" s="1" t="n">
        <v>43949</v>
      </c>
      <c r="C118" s="1" t="n">
        <v>45737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21330-2020</t>
        </is>
      </c>
      <c r="B119" s="1" t="n">
        <v>43955</v>
      </c>
      <c r="C119" s="1" t="n">
        <v>45737</v>
      </c>
      <c r="D119" t="inlineStr">
        <is>
          <t>VÄSTRA GÖTALANDS LÄN</t>
        </is>
      </c>
      <c r="E119" t="inlineStr">
        <is>
          <t>SVENLJUNGA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22258-2020</t>
        </is>
      </c>
      <c r="B120" s="1" t="n">
        <v>43962</v>
      </c>
      <c r="C120" s="1" t="n">
        <v>45737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22625-2020</t>
        </is>
      </c>
      <c r="B121" s="1" t="n">
        <v>43963</v>
      </c>
      <c r="C121" s="1" t="n">
        <v>45737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23112-2020</t>
        </is>
      </c>
      <c r="B122" s="1" t="n">
        <v>43965</v>
      </c>
      <c r="C122" s="1" t="n">
        <v>45737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23879-2020</t>
        </is>
      </c>
      <c r="B123" s="1" t="n">
        <v>43971</v>
      </c>
      <c r="C123" s="1" t="n">
        <v>45737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25563-2020</t>
        </is>
      </c>
      <c r="B124" s="1" t="n">
        <v>43983</v>
      </c>
      <c r="C124" s="1" t="n">
        <v>45737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26347-2020</t>
        </is>
      </c>
      <c r="B125" s="1" t="n">
        <v>43986</v>
      </c>
      <c r="C125" s="1" t="n">
        <v>45737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26333-2020</t>
        </is>
      </c>
      <c r="B126" s="1" t="n">
        <v>43986</v>
      </c>
      <c r="C126" s="1" t="n">
        <v>45737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27116-2020</t>
        </is>
      </c>
      <c r="B127" s="1" t="n">
        <v>43991</v>
      </c>
      <c r="C127" s="1" t="n">
        <v>45737</v>
      </c>
      <c r="D127" t="inlineStr">
        <is>
          <t>VÄSTRA GÖTALANDS LÄN</t>
        </is>
      </c>
      <c r="E127" t="inlineStr">
        <is>
          <t>SVENLJUNGA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30612-2020</t>
        </is>
      </c>
      <c r="B128" s="1" t="n">
        <v>44008</v>
      </c>
      <c r="C128" s="1" t="n">
        <v>45737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32062-2020</t>
        </is>
      </c>
      <c r="B129" s="1" t="n">
        <v>44015</v>
      </c>
      <c r="C129" s="1" t="n">
        <v>45737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32576-2020</t>
        </is>
      </c>
      <c r="B130" s="1" t="n">
        <v>44018</v>
      </c>
      <c r="C130" s="1" t="n">
        <v>45737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34843-2020</t>
        </is>
      </c>
      <c r="B131" s="1" t="n">
        <v>44036</v>
      </c>
      <c r="C131" s="1" t="n">
        <v>45737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34841-2020</t>
        </is>
      </c>
      <c r="B132" s="1" t="n">
        <v>44036</v>
      </c>
      <c r="C132" s="1" t="n">
        <v>45737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36470-2020</t>
        </is>
      </c>
      <c r="B133" s="1" t="n">
        <v>44050</v>
      </c>
      <c r="C133" s="1" t="n">
        <v>45737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36804-2020</t>
        </is>
      </c>
      <c r="B134" s="1" t="n">
        <v>44053</v>
      </c>
      <c r="C134" s="1" t="n">
        <v>45737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37628-2020</t>
        </is>
      </c>
      <c r="B135" s="1" t="n">
        <v>44056</v>
      </c>
      <c r="C135" s="1" t="n">
        <v>45737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38624-2020</t>
        </is>
      </c>
      <c r="B136" s="1" t="n">
        <v>44061</v>
      </c>
      <c r="C136" s="1" t="n">
        <v>45737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39222-2020</t>
        </is>
      </c>
      <c r="B137" s="1" t="n">
        <v>44063</v>
      </c>
      <c r="C137" s="1" t="n">
        <v>45737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39219-2020</t>
        </is>
      </c>
      <c r="B138" s="1" t="n">
        <v>44063</v>
      </c>
      <c r="C138" s="1" t="n">
        <v>45737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40293-2020</t>
        </is>
      </c>
      <c r="B139" s="1" t="n">
        <v>44068</v>
      </c>
      <c r="C139" s="1" t="n">
        <v>45737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40423-2020</t>
        </is>
      </c>
      <c r="B140" s="1" t="n">
        <v>44069</v>
      </c>
      <c r="C140" s="1" t="n">
        <v>45737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42370-2020</t>
        </is>
      </c>
      <c r="B141" s="1" t="n">
        <v>44076</v>
      </c>
      <c r="C141" s="1" t="n">
        <v>45737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43698-2020</t>
        </is>
      </c>
      <c r="B142" s="1" t="n">
        <v>44082</v>
      </c>
      <c r="C142" s="1" t="n">
        <v>45737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44844-2020</t>
        </is>
      </c>
      <c r="B143" s="1" t="n">
        <v>44086</v>
      </c>
      <c r="C143" s="1" t="n">
        <v>45737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44842-2020</t>
        </is>
      </c>
      <c r="B144" s="1" t="n">
        <v>44086</v>
      </c>
      <c r="C144" s="1" t="n">
        <v>45737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45372-2020</t>
        </is>
      </c>
      <c r="B145" s="1" t="n">
        <v>44089</v>
      </c>
      <c r="C145" s="1" t="n">
        <v>45737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50122-2020</t>
        </is>
      </c>
      <c r="B146" s="1" t="n">
        <v>44109</v>
      </c>
      <c r="C146" s="1" t="n">
        <v>45737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50149-2020</t>
        </is>
      </c>
      <c r="B147" s="1" t="n">
        <v>44109</v>
      </c>
      <c r="C147" s="1" t="n">
        <v>45737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51786-2020</t>
        </is>
      </c>
      <c r="B148" s="1" t="n">
        <v>44116</v>
      </c>
      <c r="C148" s="1" t="n">
        <v>45737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52196-2020</t>
        </is>
      </c>
      <c r="B149" s="1" t="n">
        <v>44117</v>
      </c>
      <c r="C149" s="1" t="n">
        <v>45737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54610-2020</t>
        </is>
      </c>
      <c r="B150" s="1" t="n">
        <v>44127</v>
      </c>
      <c r="C150" s="1" t="n">
        <v>45737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54949-2020</t>
        </is>
      </c>
      <c r="B151" s="1" t="n">
        <v>44129</v>
      </c>
      <c r="C151" s="1" t="n">
        <v>45737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55286-2020</t>
        </is>
      </c>
      <c r="B152" s="1" t="n">
        <v>44130</v>
      </c>
      <c r="C152" s="1" t="n">
        <v>45737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55296-2020</t>
        </is>
      </c>
      <c r="B153" s="1" t="n">
        <v>44130</v>
      </c>
      <c r="C153" s="1" t="n">
        <v>45737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55295-2020</t>
        </is>
      </c>
      <c r="B154" s="1" t="n">
        <v>44130</v>
      </c>
      <c r="C154" s="1" t="n">
        <v>45737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55841-2020</t>
        </is>
      </c>
      <c r="B155" s="1" t="n">
        <v>44132</v>
      </c>
      <c r="C155" s="1" t="n">
        <v>45737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55992-2020</t>
        </is>
      </c>
      <c r="B156" s="1" t="n">
        <v>44133</v>
      </c>
      <c r="C156" s="1" t="n">
        <v>45737</v>
      </c>
      <c r="D156" t="inlineStr">
        <is>
          <t>VÄSTRA GÖTALANDS LÄN</t>
        </is>
      </c>
      <c r="E156" t="inlineStr">
        <is>
          <t>SVENLJUNGA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56002-2020</t>
        </is>
      </c>
      <c r="B157" s="1" t="n">
        <v>44133</v>
      </c>
      <c r="C157" s="1" t="n">
        <v>45737</v>
      </c>
      <c r="D157" t="inlineStr">
        <is>
          <t>VÄSTRA GÖTALANDS LÄN</t>
        </is>
      </c>
      <c r="E157" t="inlineStr">
        <is>
          <t>SVENLJUNGA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56922-2020</t>
        </is>
      </c>
      <c r="B158" s="1" t="n">
        <v>44138</v>
      </c>
      <c r="C158" s="1" t="n">
        <v>45737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56920-2020</t>
        </is>
      </c>
      <c r="B159" s="1" t="n">
        <v>44138</v>
      </c>
      <c r="C159" s="1" t="n">
        <v>45737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59842-2020</t>
        </is>
      </c>
      <c r="B160" s="1" t="n">
        <v>44151</v>
      </c>
      <c r="C160" s="1" t="n">
        <v>45737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60968-2020</t>
        </is>
      </c>
      <c r="B161" s="1" t="n">
        <v>44154</v>
      </c>
      <c r="C161" s="1" t="n">
        <v>45737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62126-2020</t>
        </is>
      </c>
      <c r="B162" s="1" t="n">
        <v>44159</v>
      </c>
      <c r="C162" s="1" t="n">
        <v>45737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45737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45737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45737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45737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45737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45737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45737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45737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45737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45737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45737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45737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45737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45737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45737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45737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45737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45737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45737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45737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45737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45737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45737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45737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45737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45737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45737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45737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45737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45737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45737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45737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45737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45737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45737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45737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45737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45737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45737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45737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45737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45737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45737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45737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45737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45737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45737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45737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45737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45737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45737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45737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45737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45737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45737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45737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45737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45737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45737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45737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45737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45737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45737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45737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45737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45737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45737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45737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45737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45737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45737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45737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45737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45737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45737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45737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45737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45737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45737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45737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45737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45737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45737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45737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45737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45737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45737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45737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45737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45737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45737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45737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45737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45737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45737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45737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45737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45737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45737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45737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45737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45737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45737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45737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45737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45737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45737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45737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45737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45737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45737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45737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45737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45737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45737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45737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45737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45737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45737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45737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45737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45737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45737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45737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45737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45737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45737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45737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45737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45737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45737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45737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45737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45737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45737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45737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45737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45737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45737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45737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45737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45737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45737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45737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45737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45737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45737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45737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45737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45737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45737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45737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45737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45737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45737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45737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45737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45737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45737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45737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45737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45737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45737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45737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45737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45737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45737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45737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45737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45737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45737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45737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45737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45737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45737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45737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45737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45737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45737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45737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45737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45737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45737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45737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45737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45737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45737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45737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45737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45737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45737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45737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45737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45737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45737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45737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45737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45737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45737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45737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45737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45737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45737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45737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45737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45737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45737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45737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45737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45737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45737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45737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45737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45737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45737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45737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45737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45737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45737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45737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45737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45737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45737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45737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45737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45737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45737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45737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45737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45737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45737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45737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45737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45737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45737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45737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45737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45737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45737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45737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45737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45737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45737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45737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45737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45737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45737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45737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45737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45737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45737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45737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45737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45737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45737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45737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45737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45737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45737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45737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45737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45737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45737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45737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45737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45737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45737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45737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45737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45737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45737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45737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45737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45737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45737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45737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45737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45737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45737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45737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45737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45737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45737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45737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45737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45737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45737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45737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45737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45737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45737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45737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45737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45737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45737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45737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45737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45737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45737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45737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45737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45737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45737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45737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45737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45737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45737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45737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45737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45737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45737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45737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45737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45737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45737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45737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45737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45737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45737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45737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45737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45737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45737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45737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45737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45737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45737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45737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45737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45737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45737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45737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45737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45737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45737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45737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45737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45737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45737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45737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45737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45737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45737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45737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45737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45737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45737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45737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45737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45737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45737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45737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45737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45737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45737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45737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45737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45737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45737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45737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45737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45737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45737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45737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45737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45737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45737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45737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45737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45737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45737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45737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45737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45737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45737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45737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45737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45737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45737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45737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45737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45737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45737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45737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45737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45737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45737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45737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45737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45737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45737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45737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45737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45737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45737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45737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45737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45737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45737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45737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45737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45737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45737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45737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45737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45737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45737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45737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45737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45737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45737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45737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45737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45737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45737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45737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45737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45737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45737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45737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45737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45737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45737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45737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45737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45737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45737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45737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45737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45737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45737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45737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45737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45737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45737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45737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45737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45737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45737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45737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45737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45737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45737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45737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45737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45737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45737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45737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45737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45737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45737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45737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45737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45737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45737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45737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45737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45737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45737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45737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45737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45737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45737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45737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45737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45737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45737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45737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45737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45737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45737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45737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45737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45737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45737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45737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45737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45737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45737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45737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45737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45737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45737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45737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45737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45737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45737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45737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45737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45737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45737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45737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45737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45737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45737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45737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45737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45737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45737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45737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45737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45737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45737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45737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45737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45737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45737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45737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45737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45737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45737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45737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45737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45737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45737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45737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45737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45737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45737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45737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45737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45737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45737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45737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45737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45737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45737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45737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45737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45737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45737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45737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45737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45737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45737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45737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45737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45737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45737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45737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45737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45737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45737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45737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45737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45737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45737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45737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45737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45737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45737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45737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45737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45737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45737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45737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45737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45737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45737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45737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45737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45737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45737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45737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45737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45737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45737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45737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45737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45737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45737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45737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45737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45737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45737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45737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45737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45737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45737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45737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45737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45737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45737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45737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45737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45737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45737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45737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45737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45737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45737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45737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45737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45737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45737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45737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45737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45737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45737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45737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45737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45737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45737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45737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45737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45737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45737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45737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45737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45737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45737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45737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45737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45737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45737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45737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45737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45737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45737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45737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45737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45737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45737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45737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45737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45737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45737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45737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45737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45737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45737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45737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45737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45737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45737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45737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45737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45737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45737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45737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45737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45737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45737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45737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45737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45737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45737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45737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45737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45737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45737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45737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45737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45737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45737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45737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45737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45737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45737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45737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45737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45737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45737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45737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45737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45737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45737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45737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45737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45737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45737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45737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45737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45737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45737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45737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45737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45737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45737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45737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45737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45737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45737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45737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45737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45737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45737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45737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45737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45737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45737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45737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45737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45737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45737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45737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45737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45737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45737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45737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45737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45737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45737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45737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45737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45737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45737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45737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45737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45737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45737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45737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45737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45737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45737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45737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45737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45737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45737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45737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45737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45737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45737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45737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45737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45737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45737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45737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45737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45737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45737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45737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45737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45737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45737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45737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45737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45737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45737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45737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45737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45737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45737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45737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10941-2025</t>
        </is>
      </c>
      <c r="B907" s="1" t="n">
        <v>45723</v>
      </c>
      <c r="C907" s="1" t="n">
        <v>45737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10943-2025</t>
        </is>
      </c>
      <c r="B908" s="1" t="n">
        <v>45723</v>
      </c>
      <c r="C908" s="1" t="n">
        <v>45737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11.2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11203-2025</t>
        </is>
      </c>
      <c r="B909" s="1" t="n">
        <v>45726</v>
      </c>
      <c r="C909" s="1" t="n">
        <v>45737</v>
      </c>
      <c r="D909" t="inlineStr">
        <is>
          <t>VÄSTRA GÖTALANDS LÄN</t>
        </is>
      </c>
      <c r="E909" t="inlineStr">
        <is>
          <t>SVENLJUNGA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11207-2025</t>
        </is>
      </c>
      <c r="B910" s="1" t="n">
        <v>45726</v>
      </c>
      <c r="C910" s="1" t="n">
        <v>45737</v>
      </c>
      <c r="D910" t="inlineStr">
        <is>
          <t>VÄSTRA GÖTALANDS LÄN</t>
        </is>
      </c>
      <c r="E910" t="inlineStr">
        <is>
          <t>SVENLJUNGA</t>
        </is>
      </c>
      <c r="G910" t="n">
        <v>10.6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11215-2025</t>
        </is>
      </c>
      <c r="B911" s="1" t="n">
        <v>45726</v>
      </c>
      <c r="C911" s="1" t="n">
        <v>45737</v>
      </c>
      <c r="D911" t="inlineStr">
        <is>
          <t>VÄSTRA GÖTALANDS LÄN</t>
        </is>
      </c>
      <c r="E911" t="inlineStr">
        <is>
          <t>SVENLJUNGA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11202-2025</t>
        </is>
      </c>
      <c r="B912" s="1" t="n">
        <v>45726</v>
      </c>
      <c r="C912" s="1" t="n">
        <v>45737</v>
      </c>
      <c r="D912" t="inlineStr">
        <is>
          <t>VÄSTRA GÖTALANDS LÄN</t>
        </is>
      </c>
      <c r="E912" t="inlineStr">
        <is>
          <t>SVENLJUNGA</t>
        </is>
      </c>
      <c r="G912" t="n">
        <v>13.4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11239-2025</t>
        </is>
      </c>
      <c r="B913" s="1" t="n">
        <v>45726</v>
      </c>
      <c r="C913" s="1" t="n">
        <v>45737</v>
      </c>
      <c r="D913" t="inlineStr">
        <is>
          <t>VÄSTRA GÖTALANDS LÄN</t>
        </is>
      </c>
      <c r="E913" t="inlineStr">
        <is>
          <t>SVENLJUNGA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11208-2025</t>
        </is>
      </c>
      <c r="B914" s="1" t="n">
        <v>45726</v>
      </c>
      <c r="C914" s="1" t="n">
        <v>45737</v>
      </c>
      <c r="D914" t="inlineStr">
        <is>
          <t>VÄSTRA GÖTALANDS LÄN</t>
        </is>
      </c>
      <c r="E914" t="inlineStr">
        <is>
          <t>SVENLJUNGA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11216-2025</t>
        </is>
      </c>
      <c r="B915" s="1" t="n">
        <v>45726</v>
      </c>
      <c r="C915" s="1" t="n">
        <v>45737</v>
      </c>
      <c r="D915" t="inlineStr">
        <is>
          <t>VÄSTRA GÖTALANDS LÄN</t>
        </is>
      </c>
      <c r="E915" t="inlineStr">
        <is>
          <t>SVENLJUNGA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11260-2025</t>
        </is>
      </c>
      <c r="B916" s="1" t="n">
        <v>45726</v>
      </c>
      <c r="C916" s="1" t="n">
        <v>45737</v>
      </c>
      <c r="D916" t="inlineStr">
        <is>
          <t>VÄSTRA GÖTALANDS LÄN</t>
        </is>
      </c>
      <c r="E916" t="inlineStr">
        <is>
          <t>SVENLJUNGA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11264-2025</t>
        </is>
      </c>
      <c r="B917" s="1" t="n">
        <v>45726</v>
      </c>
      <c r="C917" s="1" t="n">
        <v>45737</v>
      </c>
      <c r="D917" t="inlineStr">
        <is>
          <t>VÄSTRA GÖTALANDS LÄN</t>
        </is>
      </c>
      <c r="E917" t="inlineStr">
        <is>
          <t>SVENLJUNGA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11234-2025</t>
        </is>
      </c>
      <c r="B918" s="1" t="n">
        <v>45726</v>
      </c>
      <c r="C918" s="1" t="n">
        <v>45737</v>
      </c>
      <c r="D918" t="inlineStr">
        <is>
          <t>VÄSTRA GÖTALANDS LÄN</t>
        </is>
      </c>
      <c r="E918" t="inlineStr">
        <is>
          <t>SVENLJUNGA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11238-2025</t>
        </is>
      </c>
      <c r="B919" s="1" t="n">
        <v>45726</v>
      </c>
      <c r="C919" s="1" t="n">
        <v>45737</v>
      </c>
      <c r="D919" t="inlineStr">
        <is>
          <t>VÄSTRA GÖTALANDS LÄN</t>
        </is>
      </c>
      <c r="E919" t="inlineStr">
        <is>
          <t>SVENLJUNGA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11258-2025</t>
        </is>
      </c>
      <c r="B920" s="1" t="n">
        <v>45726</v>
      </c>
      <c r="C920" s="1" t="n">
        <v>45737</v>
      </c>
      <c r="D920" t="inlineStr">
        <is>
          <t>VÄSTRA GÖTALANDS LÄN</t>
        </is>
      </c>
      <c r="E920" t="inlineStr">
        <is>
          <t>SVENLJUNGA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11209-2025</t>
        </is>
      </c>
      <c r="B921" s="1" t="n">
        <v>45726</v>
      </c>
      <c r="C921" s="1" t="n">
        <v>45737</v>
      </c>
      <c r="D921" t="inlineStr">
        <is>
          <t>VÄSTRA GÖTALANDS LÄN</t>
        </is>
      </c>
      <c r="E921" t="inlineStr">
        <is>
          <t>SVENLJUNGA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11217-2025</t>
        </is>
      </c>
      <c r="B922" s="1" t="n">
        <v>45726</v>
      </c>
      <c r="C922" s="1" t="n">
        <v>45737</v>
      </c>
      <c r="D922" t="inlineStr">
        <is>
          <t>VÄSTRA GÖTALANDS LÄN</t>
        </is>
      </c>
      <c r="E922" t="inlineStr">
        <is>
          <t>SVENLJUNGA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11221-2025</t>
        </is>
      </c>
      <c r="B923" s="1" t="n">
        <v>45726</v>
      </c>
      <c r="C923" s="1" t="n">
        <v>45737</v>
      </c>
      <c r="D923" t="inlineStr">
        <is>
          <t>VÄSTRA GÖTALANDS LÄN</t>
        </is>
      </c>
      <c r="E923" t="inlineStr">
        <is>
          <t>SVENLJUNGA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11257-2025</t>
        </is>
      </c>
      <c r="B924" s="1" t="n">
        <v>45726</v>
      </c>
      <c r="C924" s="1" t="n">
        <v>45737</v>
      </c>
      <c r="D924" t="inlineStr">
        <is>
          <t>VÄSTRA GÖTALANDS LÄN</t>
        </is>
      </c>
      <c r="E924" t="inlineStr">
        <is>
          <t>SVENLJUNGA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11373-2025</t>
        </is>
      </c>
      <c r="B925" s="1" t="n">
        <v>45726</v>
      </c>
      <c r="C925" s="1" t="n">
        <v>45737</v>
      </c>
      <c r="D925" t="inlineStr">
        <is>
          <t>VÄSTRA GÖTALANDS LÄN</t>
        </is>
      </c>
      <c r="E925" t="inlineStr">
        <is>
          <t>SVENLJUNGA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11351-2025</t>
        </is>
      </c>
      <c r="B926" s="1" t="n">
        <v>45726</v>
      </c>
      <c r="C926" s="1" t="n">
        <v>45737</v>
      </c>
      <c r="D926" t="inlineStr">
        <is>
          <t>VÄSTRA GÖTALANDS LÄN</t>
        </is>
      </c>
      <c r="E926" t="inlineStr">
        <is>
          <t>SVENLJUNGA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11368-2025</t>
        </is>
      </c>
      <c r="B927" s="1" t="n">
        <v>45726</v>
      </c>
      <c r="C927" s="1" t="n">
        <v>45737</v>
      </c>
      <c r="D927" t="inlineStr">
        <is>
          <t>VÄSTRA GÖTALANDS LÄN</t>
        </is>
      </c>
      <c r="E927" t="inlineStr">
        <is>
          <t>SVENLJUNGA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11354-2025</t>
        </is>
      </c>
      <c r="B928" s="1" t="n">
        <v>45726</v>
      </c>
      <c r="C928" s="1" t="n">
        <v>45737</v>
      </c>
      <c r="D928" t="inlineStr">
        <is>
          <t>VÄSTRA GÖTALANDS LÄN</t>
        </is>
      </c>
      <c r="E928" t="inlineStr">
        <is>
          <t>SVENLJUNGA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11366-2025</t>
        </is>
      </c>
      <c r="B929" s="1" t="n">
        <v>45726</v>
      </c>
      <c r="C929" s="1" t="n">
        <v>45737</v>
      </c>
      <c r="D929" t="inlineStr">
        <is>
          <t>VÄSTRA GÖTALANDS LÄN</t>
        </is>
      </c>
      <c r="E929" t="inlineStr">
        <is>
          <t>SVENLJUNGA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11359-2025</t>
        </is>
      </c>
      <c r="B930" s="1" t="n">
        <v>45726</v>
      </c>
      <c r="C930" s="1" t="n">
        <v>45737</v>
      </c>
      <c r="D930" t="inlineStr">
        <is>
          <t>VÄSTRA GÖTALANDS LÄN</t>
        </is>
      </c>
      <c r="E930" t="inlineStr">
        <is>
          <t>SVENLJUNGA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11363-2025</t>
        </is>
      </c>
      <c r="B931" s="1" t="n">
        <v>45726</v>
      </c>
      <c r="C931" s="1" t="n">
        <v>45737</v>
      </c>
      <c r="D931" t="inlineStr">
        <is>
          <t>VÄSTRA GÖTALANDS LÄN</t>
        </is>
      </c>
      <c r="E931" t="inlineStr">
        <is>
          <t>SVENLJUNGA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45737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11825-2025</t>
        </is>
      </c>
      <c r="B933" s="1" t="n">
        <v>45728</v>
      </c>
      <c r="C933" s="1" t="n">
        <v>45737</v>
      </c>
      <c r="D933" t="inlineStr">
        <is>
          <t>VÄSTRA GÖTALANDS LÄN</t>
        </is>
      </c>
      <c r="E933" t="inlineStr">
        <is>
          <t>SVENLJUNGA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11823-2025</t>
        </is>
      </c>
      <c r="B934" s="1" t="n">
        <v>45728</v>
      </c>
      <c r="C934" s="1" t="n">
        <v>45737</v>
      </c>
      <c r="D934" t="inlineStr">
        <is>
          <t>VÄSTRA GÖTALANDS LÄN</t>
        </is>
      </c>
      <c r="E934" t="inlineStr">
        <is>
          <t>SVENLJUNGA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45737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45737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45737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45737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12752-2025</t>
        </is>
      </c>
      <c r="B939" s="1" t="n">
        <v>45733</v>
      </c>
      <c r="C939" s="1" t="n">
        <v>45737</v>
      </c>
      <c r="D939" t="inlineStr">
        <is>
          <t>VÄSTRA GÖTALANDS LÄN</t>
        </is>
      </c>
      <c r="E939" t="inlineStr">
        <is>
          <t>SVENLJUNGA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12771-2025</t>
        </is>
      </c>
      <c r="B940" s="1" t="n">
        <v>45733</v>
      </c>
      <c r="C940" s="1" t="n">
        <v>45737</v>
      </c>
      <c r="D940" t="inlineStr">
        <is>
          <t>VÄSTRA GÖTALANDS LÄN</t>
        </is>
      </c>
      <c r="E940" t="inlineStr">
        <is>
          <t>SVENLJUNGA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12658-2025</t>
        </is>
      </c>
      <c r="B941" s="1" t="n">
        <v>45733</v>
      </c>
      <c r="C941" s="1" t="n">
        <v>45737</v>
      </c>
      <c r="D941" t="inlineStr">
        <is>
          <t>VÄSTRA GÖTALANDS LÄN</t>
        </is>
      </c>
      <c r="E941" t="inlineStr">
        <is>
          <t>SVENLJUNGA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12770-2025</t>
        </is>
      </c>
      <c r="B942" s="1" t="n">
        <v>45733</v>
      </c>
      <c r="C942" s="1" t="n">
        <v>45737</v>
      </c>
      <c r="D942" t="inlineStr">
        <is>
          <t>VÄSTRA GÖTALANDS LÄN</t>
        </is>
      </c>
      <c r="E942" t="inlineStr">
        <is>
          <t>SVENLJUNGA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12994-2025</t>
        </is>
      </c>
      <c r="B943" s="1" t="n">
        <v>45734</v>
      </c>
      <c r="C943" s="1" t="n">
        <v>45737</v>
      </c>
      <c r="D943" t="inlineStr">
        <is>
          <t>VÄSTRA GÖTALANDS LÄN</t>
        </is>
      </c>
      <c r="E943" t="inlineStr">
        <is>
          <t>SVENLJUNGA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13004-2025</t>
        </is>
      </c>
      <c r="B944" s="1" t="n">
        <v>45734</v>
      </c>
      <c r="C944" s="1" t="n">
        <v>45737</v>
      </c>
      <c r="D944" t="inlineStr">
        <is>
          <t>VÄSTRA GÖTALANDS LÄN</t>
        </is>
      </c>
      <c r="E944" t="inlineStr">
        <is>
          <t>SVENLJUNGA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13024-2025</t>
        </is>
      </c>
      <c r="B945" s="1" t="n">
        <v>45734</v>
      </c>
      <c r="C945" s="1" t="n">
        <v>45737</v>
      </c>
      <c r="D945" t="inlineStr">
        <is>
          <t>VÄSTRA GÖTALANDS LÄN</t>
        </is>
      </c>
      <c r="E945" t="inlineStr">
        <is>
          <t>SVENLJUNGA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12995-2025</t>
        </is>
      </c>
      <c r="B946" s="1" t="n">
        <v>45734</v>
      </c>
      <c r="C946" s="1" t="n">
        <v>45737</v>
      </c>
      <c r="D946" t="inlineStr">
        <is>
          <t>VÄSTRA GÖTALANDS LÄN</t>
        </is>
      </c>
      <c r="E946" t="inlineStr">
        <is>
          <t>SVENLJUNGA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13003-2025</t>
        </is>
      </c>
      <c r="B947" s="1" t="n">
        <v>45734</v>
      </c>
      <c r="C947" s="1" t="n">
        <v>45737</v>
      </c>
      <c r="D947" t="inlineStr">
        <is>
          <t>VÄSTRA GÖTALANDS LÄN</t>
        </is>
      </c>
      <c r="E947" t="inlineStr">
        <is>
          <t>SVENLJUNGA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45737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13362-2025</t>
        </is>
      </c>
      <c r="B949" s="1" t="n">
        <v>45735</v>
      </c>
      <c r="C949" s="1" t="n">
        <v>45737</v>
      </c>
      <c r="D949" t="inlineStr">
        <is>
          <t>VÄSTRA GÖTALANDS LÄN</t>
        </is>
      </c>
      <c r="E949" t="inlineStr">
        <is>
          <t>SVENLJUNGA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13398-2025</t>
        </is>
      </c>
      <c r="B950" s="1" t="n">
        <v>45735</v>
      </c>
      <c r="C950" s="1" t="n">
        <v>45737</v>
      </c>
      <c r="D950" t="inlineStr">
        <is>
          <t>VÄSTRA GÖTALANDS LÄN</t>
        </is>
      </c>
      <c r="E950" t="inlineStr">
        <is>
          <t>SVENLJUNGA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45737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13547-2025</t>
        </is>
      </c>
      <c r="B952" s="1" t="n">
        <v>45736</v>
      </c>
      <c r="C952" s="1" t="n">
        <v>45737</v>
      </c>
      <c r="D952" t="inlineStr">
        <is>
          <t>VÄSTRA GÖTALANDS LÄN</t>
        </is>
      </c>
      <c r="E952" t="inlineStr">
        <is>
          <t>SVENLJUNGA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>
      <c r="A953" t="inlineStr">
        <is>
          <t>A 13540-2025</t>
        </is>
      </c>
      <c r="B953" s="1" t="n">
        <v>45736</v>
      </c>
      <c r="C953" s="1" t="n">
        <v>45737</v>
      </c>
      <c r="D953" t="inlineStr">
        <is>
          <t>VÄSTRA GÖTALANDS LÄN</t>
        </is>
      </c>
      <c r="E953" t="inlineStr">
        <is>
          <t>SVENLJUNGA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2025-03-21T17:15:37Z</dcterms:created>
  <dcterms:modified xmlns:dcterms="http://purl.org/dc/terms/" xmlns:xsi="http://www.w3.org/2001/XMLSchema-instance" xsi:type="dcterms:W3CDTF">2025-03-21T17:15:37Z</dcterms:modified>
</cp:coreProperties>
</file>