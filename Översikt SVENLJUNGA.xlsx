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46239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46239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46239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46239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46239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29479-2026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46203</v>
      </c>
      <c r="E15" s="1" t="n">
        <v>46239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29479-2026 artfynd.xlsx", "A 29479-2026")</f>
        <v/>
      </c>
      <c r="X15">
        <f>HYPERLINK("https://klasma.github.io/Logging_1465/kartor/A 29479-2026 karta.png", "A 29479-2026")</f>
        <v/>
      </c>
      <c r="Y15">
        <f>HYPERLINK("https://klasma.github.io/Logging_1465/kartor_geotiff/A 29479-2026 georefererad karta.tif", "A 29479-2026")</f>
        <v/>
      </c>
      <c r="AA15">
        <f>HYPERLINK("https://klasma.github.io/Logging_1465/klagomål/A 29479-2026 FSC-klagomål.docx", "A 29479-2026")</f>
        <v/>
      </c>
      <c r="AB15">
        <f>HYPERLINK("https://klasma.github.io/Logging_1465/klagomålsmail/A 29479-2026 FSC-klagomål mail.docx", "A 29479-2026")</f>
        <v/>
      </c>
      <c r="AC15">
        <f>HYPERLINK("https://klasma.github.io/Logging_1465/tillsyn/A 29479-2026 tillsynsbegäran.docx", "A 29479-2026")</f>
        <v/>
      </c>
      <c r="AD15">
        <f>HYPERLINK("https://klasma.github.io/Logging_1465/tillsynsmail/A 29479-2026 tillsynsbegäran mail.docx", "A 29479-2026")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46239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46239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46239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46239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46239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11966-2026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46239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Sveaskog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HYPERLINK("https://klasma.github.io/Logging_1465/artfynd/A 11966-2026 artfynd.xlsx", "A 11966-2026")</f>
        <v/>
      </c>
      <c r="X21">
        <f>HYPERLINK("https://klasma.github.io/Logging_1465/kartor/A 11966-2026 karta.png", "A 11966-2026")</f>
        <v/>
      </c>
      <c r="Y21">
        <f>HYPERLINK("https://klasma.github.io/Logging_1465/kartor_geotiff/A 11966-2026 georefererad karta.tif", "A 11966-2026")</f>
        <v/>
      </c>
      <c r="AA21">
        <f>HYPERLINK("https://klasma.github.io/Logging_1465/klagomål/A 11966-2026 FSC-klagomål.docx", "A 11966-2026")</f>
        <v/>
      </c>
      <c r="AB21">
        <f>HYPERLINK("https://klasma.github.io/Logging_1465/klagomålsmail/A 11966-2026 FSC-klagomål mail.docx", "A 11966-2026")</f>
        <v/>
      </c>
      <c r="AC21">
        <f>HYPERLINK("https://klasma.github.io/Logging_1465/tillsyn/A 11966-2026 tillsynsbegäran.docx", "A 11966-2026")</f>
        <v/>
      </c>
      <c r="AD21">
        <f>HYPERLINK("https://klasma.github.io/Logging_1465/tillsynsmail/A 11966-2026 tillsynsbegäran mail.docx", "A 11966-2026")</f>
        <v/>
      </c>
    </row>
    <row r="22" ht="15" customHeight="1">
      <c r="A22" t="inlineStr">
        <is>
          <t>A 63476-2023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45274</v>
      </c>
      <c r="E22" s="1" t="n">
        <v>46239</v>
      </c>
      <c r="F22" t="inlineStr">
        <is>
          <t>VÄSTRA GÖTALANDS LÄN</t>
        </is>
      </c>
      <c r="G22" t="inlineStr">
        <is>
          <t>SVENLJUNGA</t>
        </is>
      </c>
      <c r="I22" t="n">
        <v>2.3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Flytsäv</t>
        </is>
      </c>
      <c r="W22">
        <f>HYPERLINK("https://klasma.github.io/Logging_1465/artfynd/A 63476-2023 artfynd.xlsx", "A 63476-2023")</f>
        <v/>
      </c>
      <c r="X22">
        <f>HYPERLINK("https://klasma.github.io/Logging_1465/kartor/A 63476-2023 karta.png", "A 63476-2023")</f>
        <v/>
      </c>
      <c r="Y22">
        <f>HYPERLINK("https://klasma.github.io/Logging_1465/kartor_geotiff/A 63476-2023 georefererad karta.tif", "A 63476-2023")</f>
        <v/>
      </c>
      <c r="AA22">
        <f>HYPERLINK("https://klasma.github.io/Logging_1465/klagomål/A 63476-2023 FSC-klagomål.docx", "A 63476-2023")</f>
        <v/>
      </c>
      <c r="AB22">
        <f>HYPERLINK("https://klasma.github.io/Logging_1465/klagomålsmail/A 63476-2023 FSC-klagomål mail.docx", "A 63476-2023")</f>
        <v/>
      </c>
      <c r="AC22">
        <f>HYPERLINK("https://klasma.github.io/Logging_1465/tillsyn/A 63476-2023 tillsynsbegäran.docx", "A 63476-2023")</f>
        <v/>
      </c>
      <c r="AD22">
        <f>HYPERLINK("https://klasma.github.io/Logging_1465/tillsynsmail/A 63476-2023 tillsynsbegäran mail.docx", "A 63476-2023")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46239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46239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46239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54012-2021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46239</v>
      </c>
      <c r="F32" t="inlineStr">
        <is>
          <t>VÄSTRA GÖTALANDS LÄN</t>
        </is>
      </c>
      <c r="G32" t="inlineStr">
        <is>
          <t>SVENLJUNGA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46239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46239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46239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46239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46239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46239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46239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46239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46239</v>
      </c>
      <c r="F41" t="inlineStr">
        <is>
          <t>VÄSTRA GÖTALANDS LÄN</t>
        </is>
      </c>
      <c r="G41" t="inlineStr">
        <is>
          <t>SVENLJUNGA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46239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46239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46239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46239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46239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46239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46239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46239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46239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46239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46239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46239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46239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46239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46239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46239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46239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46239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54650-2022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44883</v>
      </c>
      <c r="E60" s="1" t="n">
        <v>46239</v>
      </c>
      <c r="F60" t="inlineStr">
        <is>
          <t>VÄSTRA GÖTALANDS LÄN</t>
        </is>
      </c>
      <c r="G60" t="inlineStr">
        <is>
          <t>SVENLJUNGA</t>
        </is>
      </c>
      <c r="H60" t="inlineStr">
        <is>
          <t>Sveaskog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46390-2021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44443</v>
      </c>
      <c r="E61" s="1" t="n">
        <v>46239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46239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46239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46239</v>
      </c>
      <c r="F64" t="inlineStr">
        <is>
          <t>VÄSTRA GÖTALANDS LÄN</t>
        </is>
      </c>
      <c r="G64" t="inlineStr">
        <is>
          <t>SVENLJUNGA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49188-2021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44454</v>
      </c>
      <c r="E65" s="1" t="n">
        <v>46239</v>
      </c>
      <c r="F65" t="inlineStr">
        <is>
          <t>VÄSTRA GÖTALANDS LÄN</t>
        </is>
      </c>
      <c r="G65" t="inlineStr">
        <is>
          <t>SVENLJUNGA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46239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65072-2021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46239</v>
      </c>
      <c r="F67" t="inlineStr">
        <is>
          <t>VÄSTRA GÖTALANDS LÄN</t>
        </is>
      </c>
      <c r="G67" t="inlineStr">
        <is>
          <t>SVENLJUNGA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44610</v>
      </c>
      <c r="E68" s="1" t="n">
        <v>46239</v>
      </c>
      <c r="F68" t="inlineStr">
        <is>
          <t>VÄSTRA GÖTALANDS LÄN</t>
        </is>
      </c>
      <c r="G68" t="inlineStr">
        <is>
          <t>SVENLJUNGA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46239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46239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46239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46239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46239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46239</v>
      </c>
      <c r="F74" t="inlineStr">
        <is>
          <t>VÄSTRA GÖTALANDS LÄN</t>
        </is>
      </c>
      <c r="G74" t="inlineStr">
        <is>
          <t>SVENLJUNGA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44433</v>
      </c>
      <c r="E75" s="1" t="n">
        <v>46239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46239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51645-2021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46239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46239</v>
      </c>
      <c r="F78" t="inlineStr">
        <is>
          <t>VÄSTRA GÖTALANDS LÄN</t>
        </is>
      </c>
      <c r="G78" t="inlineStr">
        <is>
          <t>SVENLJUNGA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46239</v>
      </c>
      <c r="F79" t="inlineStr">
        <is>
          <t>VÄSTRA GÖTALANDS LÄN</t>
        </is>
      </c>
      <c r="G79" t="inlineStr">
        <is>
          <t>SVENLJUNGA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46239</v>
      </c>
      <c r="F80" t="inlineStr">
        <is>
          <t>VÄSTRA GÖTALANDS LÄN</t>
        </is>
      </c>
      <c r="G80" t="inlineStr">
        <is>
          <t>SVENLJUNGA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46239</v>
      </c>
      <c r="F81" t="inlineStr">
        <is>
          <t>VÄSTRA GÖTALANDS LÄN</t>
        </is>
      </c>
      <c r="G81" t="inlineStr">
        <is>
          <t>SVENLJUNGA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46239</v>
      </c>
      <c r="F82" t="inlineStr">
        <is>
          <t>VÄSTRA GÖTALANDS LÄN</t>
        </is>
      </c>
      <c r="G82" t="inlineStr">
        <is>
          <t>SVENLJUNGA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69101-2021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46239</v>
      </c>
      <c r="F83" t="inlineStr">
        <is>
          <t>VÄSTRA GÖTALANDS LÄN</t>
        </is>
      </c>
      <c r="G83" t="inlineStr">
        <is>
          <t>SVENLJUNGA</t>
        </is>
      </c>
      <c r="H83" t="inlineStr">
        <is>
          <t>Kommuner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46239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46239</v>
      </c>
      <c r="F85" t="inlineStr">
        <is>
          <t>VÄSTRA GÖTALANDS LÄN</t>
        </is>
      </c>
      <c r="G85" t="inlineStr">
        <is>
          <t>SVENLJUNGA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46239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46239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46239</v>
      </c>
      <c r="F88" t="inlineStr">
        <is>
          <t>VÄSTRA GÖTALANDS LÄN</t>
        </is>
      </c>
      <c r="G88" t="inlineStr">
        <is>
          <t>SVENLJUNGA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46239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46239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46239</v>
      </c>
      <c r="F91" t="inlineStr">
        <is>
          <t>VÄSTRA GÖTALANDS LÄN</t>
        </is>
      </c>
      <c r="G91" t="inlineStr">
        <is>
          <t>SVENLJUNGA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46239</v>
      </c>
      <c r="F92" t="inlineStr">
        <is>
          <t>VÄSTRA GÖTALANDS LÄN</t>
        </is>
      </c>
      <c r="G92" t="inlineStr">
        <is>
          <t>SVENLJUNGA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46239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46239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45361</v>
      </c>
      <c r="E95" s="1" t="n">
        <v>46239</v>
      </c>
      <c r="F95" t="inlineStr">
        <is>
          <t>VÄSTRA GÖTALANDS LÄN</t>
        </is>
      </c>
      <c r="G95" t="inlineStr">
        <is>
          <t>SVENLJUNGA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45559</v>
      </c>
      <c r="E96" s="1" t="n">
        <v>46239</v>
      </c>
      <c r="F96" t="inlineStr">
        <is>
          <t>VÄSTRA GÖTALANDS LÄN</t>
        </is>
      </c>
      <c r="G96" t="inlineStr">
        <is>
          <t>SVENLJUNGA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46239</v>
      </c>
      <c r="F97" t="inlineStr">
        <is>
          <t>VÄSTRA GÖTALANDS LÄN</t>
        </is>
      </c>
      <c r="G97" t="inlineStr">
        <is>
          <t>SVENLJUNGA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45082</v>
      </c>
      <c r="E98" s="1" t="n">
        <v>46239</v>
      </c>
      <c r="F98" t="inlineStr">
        <is>
          <t>VÄSTRA GÖTALANDS LÄN</t>
        </is>
      </c>
      <c r="G98" t="inlineStr">
        <is>
          <t>SVENLJUNGA</t>
        </is>
      </c>
      <c r="H98" t="inlineStr">
        <is>
          <t>Kommuner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46239</v>
      </c>
      <c r="F99" t="inlineStr">
        <is>
          <t>VÄSTRA GÖTALANDS LÄN</t>
        </is>
      </c>
      <c r="G99" t="inlineStr">
        <is>
          <t>SVENLJUNGA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46239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45763</v>
      </c>
      <c r="E101" s="1" t="n">
        <v>46239</v>
      </c>
      <c r="F101" t="inlineStr">
        <is>
          <t>VÄSTRA GÖTALANDS LÄN</t>
        </is>
      </c>
      <c r="G101" t="inlineStr">
        <is>
          <t>SVENLJUNGA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46239</v>
      </c>
      <c r="F102" t="inlineStr">
        <is>
          <t>VÄSTRA GÖTALANDS LÄN</t>
        </is>
      </c>
      <c r="G102" t="inlineStr">
        <is>
          <t>SVENLJUNGA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45814</v>
      </c>
      <c r="E103" s="1" t="n">
        <v>46239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44811</v>
      </c>
      <c r="E104" s="1" t="n">
        <v>46239</v>
      </c>
      <c r="F104" t="inlineStr">
        <is>
          <t>VÄSTRA GÖTALANDS LÄN</t>
        </is>
      </c>
      <c r="G104" t="inlineStr">
        <is>
          <t>SVENLJUNGA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46239</v>
      </c>
      <c r="F105" t="inlineStr">
        <is>
          <t>VÄSTRA GÖTALANDS LÄN</t>
        </is>
      </c>
      <c r="G105" t="inlineStr">
        <is>
          <t>SVENLJUNGA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46239</v>
      </c>
      <c r="F106" t="inlineStr">
        <is>
          <t>VÄSTRA GÖTALANDS LÄN</t>
        </is>
      </c>
      <c r="G106" t="inlineStr">
        <is>
          <t>SVENLJUNGA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46239</v>
      </c>
      <c r="F107" t="inlineStr">
        <is>
          <t>VÄSTRA GÖTALANDS LÄN</t>
        </is>
      </c>
      <c r="G107" t="inlineStr">
        <is>
          <t>SVENLJUNGA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46239</v>
      </c>
      <c r="F108" t="inlineStr">
        <is>
          <t>VÄSTRA GÖTALANDS LÄN</t>
        </is>
      </c>
      <c r="G108" t="inlineStr">
        <is>
          <t>SVENLJUNGA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46239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46239</v>
      </c>
      <c r="F110" t="inlineStr">
        <is>
          <t>VÄSTRA GÖTALANDS LÄN</t>
        </is>
      </c>
      <c r="G110" t="inlineStr">
        <is>
          <t>SVENLJUNGA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46239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52629-2024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45610</v>
      </c>
      <c r="E112" s="1" t="n">
        <v>46239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46239</v>
      </c>
      <c r="F113" t="inlineStr">
        <is>
          <t>VÄSTRA GÖTALANDS LÄN</t>
        </is>
      </c>
      <c r="G113" t="inlineStr">
        <is>
          <t>SVENLJUNGA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46239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46239</v>
      </c>
      <c r="F115" t="inlineStr">
        <is>
          <t>VÄSTRA GÖTALANDS LÄN</t>
        </is>
      </c>
      <c r="G115" t="inlineStr">
        <is>
          <t>SVENLJUNGA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46239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46239</v>
      </c>
      <c r="F117" t="inlineStr">
        <is>
          <t>VÄSTRA GÖTALANDS LÄN</t>
        </is>
      </c>
      <c r="G117" t="inlineStr">
        <is>
          <t>SVENLJUNGA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46239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46239</v>
      </c>
      <c r="F119" t="inlineStr">
        <is>
          <t>VÄSTRA GÖTALANDS LÄN</t>
        </is>
      </c>
      <c r="G119" t="inlineStr">
        <is>
          <t>SVENLJUNGA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46239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46239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46239</v>
      </c>
      <c r="F122" t="inlineStr">
        <is>
          <t>VÄSTRA GÖTALANDS LÄN</t>
        </is>
      </c>
      <c r="G122" t="inlineStr">
        <is>
          <t>SVENLJUNGA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42028-2024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46239</v>
      </c>
      <c r="F123" t="inlineStr">
        <is>
          <t>VÄSTRA GÖTALANDS LÄN</t>
        </is>
      </c>
      <c r="G123" t="inlineStr">
        <is>
          <t>SVENLJUNGA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46239</v>
      </c>
      <c r="F124" t="inlineStr">
        <is>
          <t>VÄSTRA GÖTALANDS LÄN</t>
        </is>
      </c>
      <c r="G124" t="inlineStr">
        <is>
          <t>SVENLJUNGA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46239</v>
      </c>
      <c r="F125" t="inlineStr">
        <is>
          <t>VÄSTRA GÖTALANDS LÄN</t>
        </is>
      </c>
      <c r="G125" t="inlineStr">
        <is>
          <t>SVENLJUNGA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46239</v>
      </c>
      <c r="F126" t="inlineStr">
        <is>
          <t>VÄSTRA GÖTALANDS LÄN</t>
        </is>
      </c>
      <c r="G126" t="inlineStr">
        <is>
          <t>SVENLJUNGA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45391</v>
      </c>
      <c r="E127" s="1" t="n">
        <v>46239</v>
      </c>
      <c r="F127" t="inlineStr">
        <is>
          <t>VÄSTRA GÖTALANDS LÄN</t>
        </is>
      </c>
      <c r="G127" t="inlineStr">
        <is>
          <t>SVENLJUNGA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46239</v>
      </c>
      <c r="F128" t="inlineStr">
        <is>
          <t>VÄSTRA GÖTALANDS LÄN</t>
        </is>
      </c>
      <c r="G128" t="inlineStr">
        <is>
          <t>SVENLJUNGA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46239</v>
      </c>
      <c r="F129" t="inlineStr">
        <is>
          <t>VÄSTRA GÖTALANDS LÄN</t>
        </is>
      </c>
      <c r="G129" t="inlineStr">
        <is>
          <t>SVENLJUNGA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46239</v>
      </c>
      <c r="F130" t="inlineStr">
        <is>
          <t>VÄSTRA GÖTALANDS LÄN</t>
        </is>
      </c>
      <c r="G130" t="inlineStr">
        <is>
          <t>SVENLJUNGA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46239</v>
      </c>
      <c r="F131" t="inlineStr">
        <is>
          <t>VÄSTRA GÖTALANDS LÄN</t>
        </is>
      </c>
      <c r="G131" t="inlineStr">
        <is>
          <t>SVENLJUNGA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46239</v>
      </c>
      <c r="F132" t="inlineStr">
        <is>
          <t>VÄSTRA GÖTALANDS LÄN</t>
        </is>
      </c>
      <c r="G132" t="inlineStr">
        <is>
          <t>SVENLJUNGA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58618-2023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46239</v>
      </c>
      <c r="F133" t="inlineStr">
        <is>
          <t>VÄSTRA GÖTALANDS LÄN</t>
        </is>
      </c>
      <c r="G133" t="inlineStr">
        <is>
          <t>SVENLJUNGA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46239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44849</v>
      </c>
      <c r="E135" s="1" t="n">
        <v>46239</v>
      </c>
      <c r="F135" t="inlineStr">
        <is>
          <t>VÄSTRA GÖTALANDS LÄN</t>
        </is>
      </c>
      <c r="G135" t="inlineStr">
        <is>
          <t>SVENLJUNGA</t>
        </is>
      </c>
      <c r="I135" t="n">
        <v>12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46239</v>
      </c>
      <c r="F136" t="inlineStr">
        <is>
          <t>VÄSTRA GÖTALANDS LÄN</t>
        </is>
      </c>
      <c r="G136" t="inlineStr">
        <is>
          <t>SVENLJUNGA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44855</v>
      </c>
      <c r="E137" s="1" t="n">
        <v>46239</v>
      </c>
      <c r="F137" t="inlineStr">
        <is>
          <t>VÄSTRA GÖTALANDS LÄN</t>
        </is>
      </c>
      <c r="G137" t="inlineStr">
        <is>
          <t>SVENLJUNGA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46239</v>
      </c>
      <c r="F138" t="inlineStr">
        <is>
          <t>VÄSTRA GÖTALANDS LÄN</t>
        </is>
      </c>
      <c r="G138" t="inlineStr">
        <is>
          <t>SVENLJUNGA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46239</v>
      </c>
      <c r="F139" t="inlineStr">
        <is>
          <t>VÄSTRA GÖTALANDS LÄN</t>
        </is>
      </c>
      <c r="G139" t="inlineStr">
        <is>
          <t>SVENLJUNGA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45432</v>
      </c>
      <c r="E140" s="1" t="n">
        <v>46239</v>
      </c>
      <c r="F140" t="inlineStr">
        <is>
          <t>VÄSTRA GÖTALANDS LÄN</t>
        </is>
      </c>
      <c r="G140" t="inlineStr">
        <is>
          <t>SVENLJUNGA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44440</v>
      </c>
      <c r="E141" s="1" t="n">
        <v>46239</v>
      </c>
      <c r="F141" t="inlineStr">
        <is>
          <t>VÄSTRA GÖTALANDS LÄN</t>
        </is>
      </c>
      <c r="G141" t="inlineStr">
        <is>
          <t>SVENLJUNGA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45250</v>
      </c>
      <c r="E142" s="1" t="n">
        <v>46239</v>
      </c>
      <c r="F142" t="inlineStr">
        <is>
          <t>VÄSTRA GÖTALANDS LÄN</t>
        </is>
      </c>
      <c r="G142" t="inlineStr">
        <is>
          <t>SVENLJUNGA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46239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45420</v>
      </c>
      <c r="E144" s="1" t="n">
        <v>46239</v>
      </c>
      <c r="F144" t="inlineStr">
        <is>
          <t>VÄSTRA GÖTALANDS LÄN</t>
        </is>
      </c>
      <c r="G144" t="inlineStr">
        <is>
          <t>SVENLJUNGA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46239</v>
      </c>
      <c r="F145" t="inlineStr">
        <is>
          <t>VÄSTRA GÖTALANDS LÄN</t>
        </is>
      </c>
      <c r="G145" t="inlineStr">
        <is>
          <t>SVENLJUNGA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46239</v>
      </c>
      <c r="F146" t="inlineStr">
        <is>
          <t>VÄSTRA GÖTALANDS LÄN</t>
        </is>
      </c>
      <c r="G146" t="inlineStr">
        <is>
          <t>SVENLJUNGA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46239</v>
      </c>
      <c r="F147" t="inlineStr">
        <is>
          <t>VÄSTRA GÖTALANDS LÄN</t>
        </is>
      </c>
      <c r="G147" t="inlineStr">
        <is>
          <t>SVENLJUNGA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46239</v>
      </c>
      <c r="F148" t="inlineStr">
        <is>
          <t>VÄSTRA GÖTALANDS LÄN</t>
        </is>
      </c>
      <c r="G148" t="inlineStr">
        <is>
          <t>SVENLJUNGA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46239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46239</v>
      </c>
      <c r="F150" t="inlineStr">
        <is>
          <t>VÄSTRA GÖTALANDS LÄN</t>
        </is>
      </c>
      <c r="G150" t="inlineStr">
        <is>
          <t>SVENLJUNGA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46239</v>
      </c>
      <c r="F151" t="inlineStr">
        <is>
          <t>VÄSTRA GÖTALANDS LÄN</t>
        </is>
      </c>
      <c r="G151" t="inlineStr">
        <is>
          <t>SVENLJUNGA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44588</v>
      </c>
      <c r="E152" s="1" t="n">
        <v>46239</v>
      </c>
      <c r="F152" t="inlineStr">
        <is>
          <t>VÄSTRA GÖTALANDS LÄN</t>
        </is>
      </c>
      <c r="G152" t="inlineStr">
        <is>
          <t>SVENLJUNGA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46239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62303-2023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46239</v>
      </c>
      <c r="F154" t="inlineStr">
        <is>
          <t>VÄSTRA GÖTALANDS LÄN</t>
        </is>
      </c>
      <c r="G154" t="inlineStr">
        <is>
          <t>SVENLJUNGA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45854</v>
      </c>
      <c r="E155" s="1" t="n">
        <v>46239</v>
      </c>
      <c r="F155" t="inlineStr">
        <is>
          <t>VÄSTRA GÖTALANDS LÄN</t>
        </is>
      </c>
      <c r="G155" t="inlineStr">
        <is>
          <t>SVENLJUNGA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46239</v>
      </c>
      <c r="F156" t="inlineStr">
        <is>
          <t>VÄSTRA GÖTALANDS LÄN</t>
        </is>
      </c>
      <c r="G156" t="inlineStr">
        <is>
          <t>SVENLJUNGA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44749</v>
      </c>
      <c r="E157" s="1" t="n">
        <v>46239</v>
      </c>
      <c r="F157" t="inlineStr">
        <is>
          <t>VÄSTRA GÖTALANDS LÄN</t>
        </is>
      </c>
      <c r="G157" t="inlineStr">
        <is>
          <t>SVENLJUNGA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65961-2021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44517</v>
      </c>
      <c r="E158" s="1" t="n">
        <v>46239</v>
      </c>
      <c r="F158" t="inlineStr">
        <is>
          <t>VÄSTRA GÖTALANDS LÄN</t>
        </is>
      </c>
      <c r="G158" t="inlineStr">
        <is>
          <t>SVENLJUNGA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46239</v>
      </c>
      <c r="F159" t="inlineStr">
        <is>
          <t>VÄSTRA GÖTALANDS LÄN</t>
        </is>
      </c>
      <c r="G159" t="inlineStr">
        <is>
          <t>SVENLJUNGA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46239</v>
      </c>
      <c r="F160" t="inlineStr">
        <is>
          <t>VÄSTRA GÖTALANDS LÄN</t>
        </is>
      </c>
      <c r="G160" t="inlineStr">
        <is>
          <t>SVENLJUNGA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45868</v>
      </c>
      <c r="E161" s="1" t="n">
        <v>46239</v>
      </c>
      <c r="F161" t="inlineStr">
        <is>
          <t>VÄSTRA GÖTALANDS LÄN</t>
        </is>
      </c>
      <c r="G161" t="inlineStr">
        <is>
          <t>SVENLJUNGA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44564</v>
      </c>
      <c r="E162" s="1" t="n">
        <v>46239</v>
      </c>
      <c r="F162" t="inlineStr">
        <is>
          <t>VÄSTRA GÖTALANDS LÄN</t>
        </is>
      </c>
      <c r="G162" t="inlineStr">
        <is>
          <t>SVENLJUNGA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45363</v>
      </c>
      <c r="E163" s="1" t="n">
        <v>46239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46239</v>
      </c>
      <c r="F164" t="inlineStr">
        <is>
          <t>VÄSTRA GÖTALANDS LÄN</t>
        </is>
      </c>
      <c r="G164" t="inlineStr">
        <is>
          <t>SVENLJUNGA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46239</v>
      </c>
      <c r="F165" t="inlineStr">
        <is>
          <t>VÄSTRA GÖTALANDS LÄN</t>
        </is>
      </c>
      <c r="G165" t="inlineStr">
        <is>
          <t>SVENLJUNGA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46239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44726</v>
      </c>
      <c r="E167" s="1" t="n">
        <v>46239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45877</v>
      </c>
      <c r="E168" s="1" t="n">
        <v>46239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46239</v>
      </c>
      <c r="F169" t="inlineStr">
        <is>
          <t>VÄSTRA GÖTALANDS LÄN</t>
        </is>
      </c>
      <c r="G169" t="inlineStr">
        <is>
          <t>SVENLJUNGA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45274</v>
      </c>
      <c r="E170" s="1" t="n">
        <v>46239</v>
      </c>
      <c r="F170" t="inlineStr">
        <is>
          <t>VÄSTRA GÖTALANDS LÄN</t>
        </is>
      </c>
      <c r="G170" t="inlineStr">
        <is>
          <t>SVENLJUNGA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46239</v>
      </c>
      <c r="F171" t="inlineStr">
        <is>
          <t>VÄSTRA GÖTALANDS LÄN</t>
        </is>
      </c>
      <c r="G171" t="inlineStr">
        <is>
          <t>SVENLJUNGA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46239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45485</v>
      </c>
      <c r="E173" s="1" t="n">
        <v>46239</v>
      </c>
      <c r="F173" t="inlineStr">
        <is>
          <t>VÄSTRA GÖTALANDS LÄN</t>
        </is>
      </c>
      <c r="G173" t="inlineStr">
        <is>
          <t>SVENLJUNGA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46239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46239</v>
      </c>
      <c r="F175" t="inlineStr">
        <is>
          <t>VÄSTRA GÖTALANDS LÄN</t>
        </is>
      </c>
      <c r="G175" t="inlineStr">
        <is>
          <t>SVENLJUNGA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49071-2021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44453</v>
      </c>
      <c r="E176" s="1" t="n">
        <v>46239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46239</v>
      </c>
      <c r="F177" t="inlineStr">
        <is>
          <t>VÄSTRA GÖTALANDS LÄN</t>
        </is>
      </c>
      <c r="G177" t="inlineStr">
        <is>
          <t>SVENLJUNGA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44613</v>
      </c>
      <c r="E178" s="1" t="n">
        <v>46239</v>
      </c>
      <c r="F178" t="inlineStr">
        <is>
          <t>VÄSTRA GÖTALANDS LÄN</t>
        </is>
      </c>
      <c r="G178" t="inlineStr">
        <is>
          <t>SVENLJUNGA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46239</v>
      </c>
      <c r="F179" t="inlineStr">
        <is>
          <t>VÄSTRA GÖTALANDS LÄN</t>
        </is>
      </c>
      <c r="G179" t="inlineStr">
        <is>
          <t>SVENLJUNGA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46239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45069</v>
      </c>
      <c r="E181" s="1" t="n">
        <v>46239</v>
      </c>
      <c r="F181" t="inlineStr">
        <is>
          <t>VÄSTRA GÖTALANDS LÄN</t>
        </is>
      </c>
      <c r="G181" t="inlineStr">
        <is>
          <t>SVENLJUNGA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46239</v>
      </c>
      <c r="F182" t="inlineStr">
        <is>
          <t>VÄSTRA GÖTALANDS LÄN</t>
        </is>
      </c>
      <c r="G182" t="inlineStr">
        <is>
          <t>SVENLJUNGA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46239</v>
      </c>
      <c r="F183" t="inlineStr">
        <is>
          <t>VÄSTRA GÖTALANDS LÄN</t>
        </is>
      </c>
      <c r="G183" t="inlineStr">
        <is>
          <t>SVENLJUNGA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46239</v>
      </c>
      <c r="F184" t="inlineStr">
        <is>
          <t>VÄSTRA GÖTALANDS LÄN</t>
        </is>
      </c>
      <c r="G184" t="inlineStr">
        <is>
          <t>SVENLJUNGA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44872</v>
      </c>
      <c r="E185" s="1" t="n">
        <v>46239</v>
      </c>
      <c r="F185" t="inlineStr">
        <is>
          <t>VÄSTRA GÖTALANDS LÄN</t>
        </is>
      </c>
      <c r="G185" t="inlineStr">
        <is>
          <t>SVENLJUNGA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46239</v>
      </c>
      <c r="F186" t="inlineStr">
        <is>
          <t>VÄSTRA GÖTALANDS LÄN</t>
        </is>
      </c>
      <c r="G186" t="inlineStr">
        <is>
          <t>SVENLJUNGA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46239</v>
      </c>
      <c r="F187" t="inlineStr">
        <is>
          <t>VÄSTRA GÖTALANDS LÄN</t>
        </is>
      </c>
      <c r="G187" t="inlineStr">
        <is>
          <t>SVENLJUNGA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46239</v>
      </c>
      <c r="F188" t="inlineStr">
        <is>
          <t>VÄSTRA GÖTALANDS LÄN</t>
        </is>
      </c>
      <c r="G188" t="inlineStr">
        <is>
          <t>SVENLJUNGA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44981</v>
      </c>
      <c r="E189" s="1" t="n">
        <v>46239</v>
      </c>
      <c r="F189" t="inlineStr">
        <is>
          <t>VÄSTRA GÖTALANDS LÄN</t>
        </is>
      </c>
      <c r="G189" t="inlineStr">
        <is>
          <t>SVENLJUNGA</t>
        </is>
      </c>
      <c r="I189" t="n">
        <v>12.7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44981</v>
      </c>
      <c r="E190" s="1" t="n">
        <v>46239</v>
      </c>
      <c r="F190" t="inlineStr">
        <is>
          <t>VÄSTRA GÖTALANDS LÄN</t>
        </is>
      </c>
      <c r="G190" t="inlineStr">
        <is>
          <t>SVENLJUNGA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45370</v>
      </c>
      <c r="E191" s="1" t="n">
        <v>46239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46239</v>
      </c>
      <c r="F192" t="inlineStr">
        <is>
          <t>VÄSTRA GÖTALANDS LÄN</t>
        </is>
      </c>
      <c r="G192" t="inlineStr">
        <is>
          <t>SVENLJUNGA</t>
        </is>
      </c>
      <c r="I192" t="n">
        <v>18.8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46239</v>
      </c>
      <c r="F193" t="inlineStr">
        <is>
          <t>VÄSTRA GÖTALANDS LÄN</t>
        </is>
      </c>
      <c r="G193" t="inlineStr">
        <is>
          <t>SVENLJUNGA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46239</v>
      </c>
      <c r="F194" t="inlineStr">
        <is>
          <t>VÄSTRA GÖTALANDS LÄN</t>
        </is>
      </c>
      <c r="G194" t="inlineStr">
        <is>
          <t>SVENLJUNGA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45266</v>
      </c>
      <c r="E195" s="1" t="n">
        <v>46239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45609</v>
      </c>
      <c r="E196" s="1" t="n">
        <v>46239</v>
      </c>
      <c r="F196" t="inlineStr">
        <is>
          <t>VÄSTRA GÖTALANDS LÄN</t>
        </is>
      </c>
      <c r="G196" t="inlineStr">
        <is>
          <t>SVENLJUNGA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48937-2024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46239</v>
      </c>
      <c r="F197" t="inlineStr">
        <is>
          <t>VÄSTRA GÖTALANDS LÄN</t>
        </is>
      </c>
      <c r="G197" t="inlineStr">
        <is>
          <t>SVENLJUNGA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46239</v>
      </c>
      <c r="F198" t="inlineStr">
        <is>
          <t>VÄSTRA GÖTALANDS LÄN</t>
        </is>
      </c>
      <c r="G198" t="inlineStr">
        <is>
          <t>SVENLJUNGA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44897</v>
      </c>
      <c r="E199" s="1" t="n">
        <v>46239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46239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45485</v>
      </c>
      <c r="E201" s="1" t="n">
        <v>46239</v>
      </c>
      <c r="F201" t="inlineStr">
        <is>
          <t>VÄSTRA GÖTALANDS LÄN</t>
        </is>
      </c>
      <c r="G201" t="inlineStr">
        <is>
          <t>SVENLJUNGA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46239</v>
      </c>
      <c r="F202" t="inlineStr">
        <is>
          <t>VÄSTRA GÖTALANDS LÄN</t>
        </is>
      </c>
      <c r="G202" t="inlineStr">
        <is>
          <t>SVENLJUNGA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46239</v>
      </c>
      <c r="F203" t="inlineStr">
        <is>
          <t>VÄSTRA GÖTALANDS LÄN</t>
        </is>
      </c>
      <c r="G203" t="inlineStr">
        <is>
          <t>SVENLJUNGA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46239</v>
      </c>
      <c r="F204" t="inlineStr">
        <is>
          <t>VÄSTRA GÖTALANDS LÄN</t>
        </is>
      </c>
      <c r="G204" t="inlineStr">
        <is>
          <t>SVENLJUNGA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28271-2023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45099</v>
      </c>
      <c r="E205" s="1" t="n">
        <v>46239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58389-2022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44901</v>
      </c>
      <c r="E206" s="1" t="n">
        <v>46239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46239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Kommuner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46239</v>
      </c>
      <c r="F208" t="inlineStr">
        <is>
          <t>VÄSTRA GÖTALANDS LÄN</t>
        </is>
      </c>
      <c r="G208" t="inlineStr">
        <is>
          <t>SVENLJUNGA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46239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46239</v>
      </c>
      <c r="F210" t="inlineStr">
        <is>
          <t>VÄSTRA GÖTALANDS LÄN</t>
        </is>
      </c>
      <c r="G210" t="inlineStr">
        <is>
          <t>SVENLJUNGA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46239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46239</v>
      </c>
      <c r="F212" t="inlineStr">
        <is>
          <t>VÄSTRA GÖTALANDS LÄN</t>
        </is>
      </c>
      <c r="G212" t="inlineStr">
        <is>
          <t>SVENLJUNGA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46239</v>
      </c>
      <c r="F213" t="inlineStr">
        <is>
          <t>VÄSTRA GÖTALANDS LÄN</t>
        </is>
      </c>
      <c r="G213" t="inlineStr">
        <is>
          <t>SVENLJUNGA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45785</v>
      </c>
      <c r="E214" s="1" t="n">
        <v>46239</v>
      </c>
      <c r="F214" t="inlineStr">
        <is>
          <t>VÄSTRA GÖTALANDS LÄN</t>
        </is>
      </c>
      <c r="G214" t="inlineStr">
        <is>
          <t>SVENLJUNGA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44614</v>
      </c>
      <c r="E215" s="1" t="n">
        <v>46239</v>
      </c>
      <c r="F215" t="inlineStr">
        <is>
          <t>VÄSTRA GÖTALANDS LÄN</t>
        </is>
      </c>
      <c r="G215" t="inlineStr">
        <is>
          <t>SVENLJUNGA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46239</v>
      </c>
      <c r="F216" t="inlineStr">
        <is>
          <t>VÄSTRA GÖTALANDS LÄN</t>
        </is>
      </c>
      <c r="G216" t="inlineStr">
        <is>
          <t>SVENLJUNGA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46239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45354</v>
      </c>
      <c r="E218" s="1" t="n">
        <v>46239</v>
      </c>
      <c r="F218" t="inlineStr">
        <is>
          <t>VÄSTRA GÖTALANDS LÄN</t>
        </is>
      </c>
      <c r="G218" t="inlineStr">
        <is>
          <t>SVENLJUNGA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46239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46239</v>
      </c>
      <c r="F220" t="inlineStr">
        <is>
          <t>VÄSTRA GÖTALANDS LÄN</t>
        </is>
      </c>
      <c r="G220" t="inlineStr">
        <is>
          <t>SVENLJUNGA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45569</v>
      </c>
      <c r="E221" s="1" t="n">
        <v>46239</v>
      </c>
      <c r="F221" t="inlineStr">
        <is>
          <t>VÄSTRA GÖTALANDS LÄN</t>
        </is>
      </c>
      <c r="G221" t="inlineStr">
        <is>
          <t>SVENLJUNGA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46239</v>
      </c>
      <c r="F222" t="inlineStr">
        <is>
          <t>VÄSTRA GÖTALANDS LÄN</t>
        </is>
      </c>
      <c r="G222" t="inlineStr">
        <is>
          <t>SVENLJUNGA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46239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46239</v>
      </c>
      <c r="F224" t="inlineStr">
        <is>
          <t>VÄSTRA GÖTALANDS LÄN</t>
        </is>
      </c>
      <c r="G224" t="inlineStr">
        <is>
          <t>SVENLJUNGA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45518</v>
      </c>
      <c r="E225" s="1" t="n">
        <v>46239</v>
      </c>
      <c r="F225" t="inlineStr">
        <is>
          <t>VÄSTRA GÖTALANDS LÄN</t>
        </is>
      </c>
      <c r="G225" t="inlineStr">
        <is>
          <t>SVENLJUNGA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46239</v>
      </c>
      <c r="F226" t="inlineStr">
        <is>
          <t>VÄSTRA GÖTALANDS LÄN</t>
        </is>
      </c>
      <c r="G226" t="inlineStr">
        <is>
          <t>SVENLJUNGA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46239</v>
      </c>
      <c r="F227" t="inlineStr">
        <is>
          <t>VÄSTRA GÖTALANDS LÄN</t>
        </is>
      </c>
      <c r="G227" t="inlineStr">
        <is>
          <t>SVENLJUNGA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46239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60561-2024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45644</v>
      </c>
      <c r="E229" s="1" t="n">
        <v>46239</v>
      </c>
      <c r="F229" t="inlineStr">
        <is>
          <t>VÄSTRA GÖTALANDS LÄN</t>
        </is>
      </c>
      <c r="G229" t="inlineStr">
        <is>
          <t>SVENLJUNGA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46239</v>
      </c>
      <c r="F230" t="inlineStr">
        <is>
          <t>VÄSTRA GÖTALANDS LÄN</t>
        </is>
      </c>
      <c r="G230" t="inlineStr">
        <is>
          <t>SVENLJUNGA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45354</v>
      </c>
      <c r="E231" s="1" t="n">
        <v>46239</v>
      </c>
      <c r="F231" t="inlineStr">
        <is>
          <t>VÄSTRA GÖTALANDS LÄN</t>
        </is>
      </c>
      <c r="G231" t="inlineStr">
        <is>
          <t>SVENLJUNGA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46239</v>
      </c>
      <c r="F232" t="inlineStr">
        <is>
          <t>VÄSTRA GÖTALANDS LÄN</t>
        </is>
      </c>
      <c r="G232" t="inlineStr">
        <is>
          <t>SVENLJUNGA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32748-2024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46239</v>
      </c>
      <c r="F233" t="inlineStr">
        <is>
          <t>VÄSTRA GÖTALANDS LÄN</t>
        </is>
      </c>
      <c r="G233" t="inlineStr">
        <is>
          <t>SVENLJUNGA</t>
        </is>
      </c>
      <c r="H233" t="inlineStr">
        <is>
          <t>Kommuner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46239</v>
      </c>
      <c r="F234" t="inlineStr">
        <is>
          <t>VÄSTRA GÖTALANDS LÄN</t>
        </is>
      </c>
      <c r="G234" t="inlineStr">
        <is>
          <t>SVENLJUNGA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46239</v>
      </c>
      <c r="F235" t="inlineStr">
        <is>
          <t>VÄSTRA GÖTALANDS LÄN</t>
        </is>
      </c>
      <c r="G235" t="inlineStr">
        <is>
          <t>SVENLJUNGA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46239</v>
      </c>
      <c r="F236" t="inlineStr">
        <is>
          <t>VÄSTRA GÖTALANDS LÄN</t>
        </is>
      </c>
      <c r="G236" t="inlineStr">
        <is>
          <t>SVENLJUNGA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46239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46239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46239</v>
      </c>
      <c r="F239" t="inlineStr">
        <is>
          <t>VÄSTRA GÖTALANDS LÄN</t>
        </is>
      </c>
      <c r="G239" t="inlineStr">
        <is>
          <t>SVENLJUNGA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46239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46239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44903</v>
      </c>
      <c r="E242" s="1" t="n">
        <v>46239</v>
      </c>
      <c r="F242" t="inlineStr">
        <is>
          <t>VÄSTRA GÖTALANDS LÄN</t>
        </is>
      </c>
      <c r="G242" t="inlineStr">
        <is>
          <t>SVENLJUNGA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46239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46239</v>
      </c>
      <c r="F244" t="inlineStr">
        <is>
          <t>VÄSTRA GÖTALANDS LÄN</t>
        </is>
      </c>
      <c r="G244" t="inlineStr">
        <is>
          <t>SVENLJUNGA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46239</v>
      </c>
      <c r="F245" t="inlineStr">
        <is>
          <t>VÄSTRA GÖTALANDS LÄN</t>
        </is>
      </c>
      <c r="G245" t="inlineStr">
        <is>
          <t>SVENLJUNGA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46239</v>
      </c>
      <c r="F246" t="inlineStr">
        <is>
          <t>VÄSTRA GÖTALANDS LÄN</t>
        </is>
      </c>
      <c r="G246" t="inlineStr">
        <is>
          <t>SVENLJUNGA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46239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46239</v>
      </c>
      <c r="F248" t="inlineStr">
        <is>
          <t>VÄSTRA GÖTALANDS LÄN</t>
        </is>
      </c>
      <c r="G248" t="inlineStr">
        <is>
          <t>SVENLJUNGA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44942</v>
      </c>
      <c r="E249" s="1" t="n">
        <v>46239</v>
      </c>
      <c r="F249" t="inlineStr">
        <is>
          <t>VÄSTRA GÖTALANDS LÄN</t>
        </is>
      </c>
      <c r="G249" t="inlineStr">
        <is>
          <t>SVENLJUNGA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46239</v>
      </c>
      <c r="F250" t="inlineStr">
        <is>
          <t>VÄSTRA GÖTALANDS LÄN</t>
        </is>
      </c>
      <c r="G250" t="inlineStr">
        <is>
          <t>SVENLJUNGA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45194</v>
      </c>
      <c r="E251" s="1" t="n">
        <v>46239</v>
      </c>
      <c r="F251" t="inlineStr">
        <is>
          <t>VÄSTRA GÖTALANDS LÄN</t>
        </is>
      </c>
      <c r="G251" t="inlineStr">
        <is>
          <t>SVENLJUNGA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46239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46239</v>
      </c>
      <c r="F253" t="inlineStr">
        <is>
          <t>VÄSTRA GÖTALANDS LÄN</t>
        </is>
      </c>
      <c r="G253" t="inlineStr">
        <is>
          <t>SVENLJUNGA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46239</v>
      </c>
      <c r="F254" t="inlineStr">
        <is>
          <t>VÄSTRA GÖTALANDS LÄN</t>
        </is>
      </c>
      <c r="G254" t="inlineStr">
        <is>
          <t>SVENLJUNGA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46239</v>
      </c>
      <c r="F255" t="inlineStr">
        <is>
          <t>VÄSTRA GÖTALANDS LÄN</t>
        </is>
      </c>
      <c r="G255" t="inlineStr">
        <is>
          <t>SVENLJUNGA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46239</v>
      </c>
      <c r="F256" t="inlineStr">
        <is>
          <t>VÄSTRA GÖTALANDS LÄN</t>
        </is>
      </c>
      <c r="G256" t="inlineStr">
        <is>
          <t>SVENLJUNGA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46239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45572</v>
      </c>
      <c r="E258" s="1" t="n">
        <v>46239</v>
      </c>
      <c r="F258" t="inlineStr">
        <is>
          <t>VÄSTRA GÖTALANDS LÄN</t>
        </is>
      </c>
      <c r="G258" t="inlineStr">
        <is>
          <t>SVENLJUNGA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46239</v>
      </c>
      <c r="F259" t="inlineStr">
        <is>
          <t>VÄSTRA GÖTALANDS LÄN</t>
        </is>
      </c>
      <c r="G259" t="inlineStr">
        <is>
          <t>SVENLJUNGA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46239</v>
      </c>
      <c r="F260" t="inlineStr">
        <is>
          <t>VÄSTRA GÖTALANDS LÄN</t>
        </is>
      </c>
      <c r="G260" t="inlineStr">
        <is>
          <t>SVENLJUNGA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46239</v>
      </c>
      <c r="F261" t="inlineStr">
        <is>
          <t>VÄSTRA GÖTALANDS LÄN</t>
        </is>
      </c>
      <c r="G261" t="inlineStr">
        <is>
          <t>SVENLJUNGA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46239</v>
      </c>
      <c r="F262" t="inlineStr">
        <is>
          <t>VÄSTRA GÖTALANDS LÄN</t>
        </is>
      </c>
      <c r="G262" t="inlineStr">
        <is>
          <t>SVENLJUNGA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11410-2024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45372</v>
      </c>
      <c r="E263" s="1" t="n">
        <v>46239</v>
      </c>
      <c r="F263" t="inlineStr">
        <is>
          <t>VÄSTRA GÖTALANDS LÄN</t>
        </is>
      </c>
      <c r="G263" t="inlineStr">
        <is>
          <t>SVENLJUNGA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44981</v>
      </c>
      <c r="E264" s="1" t="n">
        <v>46239</v>
      </c>
      <c r="F264" t="inlineStr">
        <is>
          <t>VÄSTRA GÖTALANDS LÄN</t>
        </is>
      </c>
      <c r="G264" t="inlineStr">
        <is>
          <t>SVENLJUNGA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45565</v>
      </c>
      <c r="E265" s="1" t="n">
        <v>46239</v>
      </c>
      <c r="F265" t="inlineStr">
        <is>
          <t>VÄSTRA GÖTALANDS LÄN</t>
        </is>
      </c>
      <c r="G265" t="inlineStr">
        <is>
          <t>SVENLJUNGA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45544</v>
      </c>
      <c r="E266" s="1" t="n">
        <v>46239</v>
      </c>
      <c r="F266" t="inlineStr">
        <is>
          <t>VÄSTRA GÖTALANDS LÄN</t>
        </is>
      </c>
      <c r="G266" t="inlineStr">
        <is>
          <t>SVENLJUNGA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44898</v>
      </c>
      <c r="E267" s="1" t="n">
        <v>46239</v>
      </c>
      <c r="F267" t="inlineStr">
        <is>
          <t>VÄSTRA GÖTALANDS LÄN</t>
        </is>
      </c>
      <c r="G267" t="inlineStr">
        <is>
          <t>SVENLJUNGA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45713</v>
      </c>
      <c r="E268" s="1" t="n">
        <v>46239</v>
      </c>
      <c r="F268" t="inlineStr">
        <is>
          <t>VÄSTRA GÖTALANDS LÄN</t>
        </is>
      </c>
      <c r="G268" t="inlineStr">
        <is>
          <t>SVENLJUNGA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44878-2025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45918</v>
      </c>
      <c r="E269" s="1" t="n">
        <v>46239</v>
      </c>
      <c r="F269" t="inlineStr">
        <is>
          <t>VÄSTRA GÖTALANDS LÄN</t>
        </is>
      </c>
      <c r="G269" t="inlineStr">
        <is>
          <t>SVENLJUNGA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45609</v>
      </c>
      <c r="E270" s="1" t="n">
        <v>46239</v>
      </c>
      <c r="F270" t="inlineStr">
        <is>
          <t>VÄSTRA GÖTALANDS LÄN</t>
        </is>
      </c>
      <c r="G270" t="inlineStr">
        <is>
          <t>SVENLJUNGA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46239</v>
      </c>
      <c r="F271" t="inlineStr">
        <is>
          <t>VÄSTRA GÖTALANDS LÄN</t>
        </is>
      </c>
      <c r="G271" t="inlineStr">
        <is>
          <t>SVENLJUNGA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46239</v>
      </c>
      <c r="F272" t="inlineStr">
        <is>
          <t>VÄSTRA GÖTALANDS LÄN</t>
        </is>
      </c>
      <c r="G272" t="inlineStr">
        <is>
          <t>SVENLJUNGA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45433</v>
      </c>
      <c r="E273" s="1" t="n">
        <v>46239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9532-2022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44617</v>
      </c>
      <c r="E274" s="1" t="n">
        <v>46239</v>
      </c>
      <c r="F274" t="inlineStr">
        <is>
          <t>VÄSTRA GÖTALANDS LÄN</t>
        </is>
      </c>
      <c r="G274" t="inlineStr">
        <is>
          <t>SVENLJUNGA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46239</v>
      </c>
      <c r="F275" t="inlineStr">
        <is>
          <t>VÄSTRA GÖTALANDS LÄN</t>
        </is>
      </c>
      <c r="G275" t="inlineStr">
        <is>
          <t>SVENLJUNGA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46239</v>
      </c>
      <c r="F276" t="inlineStr">
        <is>
          <t>VÄSTRA GÖTALANDS LÄN</t>
        </is>
      </c>
      <c r="G276" t="inlineStr">
        <is>
          <t>SVENLJUNGA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46239</v>
      </c>
      <c r="F277" t="inlineStr">
        <is>
          <t>VÄSTRA GÖTALANDS LÄN</t>
        </is>
      </c>
      <c r="G277" t="inlineStr">
        <is>
          <t>SVENLJUNGA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46239</v>
      </c>
      <c r="F278" t="inlineStr">
        <is>
          <t>VÄSTRA GÖTALANDS LÄN</t>
        </is>
      </c>
      <c r="G278" t="inlineStr">
        <is>
          <t>SVENLJUNGA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45000</v>
      </c>
      <c r="E279" s="1" t="n">
        <v>46239</v>
      </c>
      <c r="F279" t="inlineStr">
        <is>
          <t>VÄSTRA GÖTALANDS LÄN</t>
        </is>
      </c>
      <c r="G279" t="inlineStr">
        <is>
          <t>SVENLJUNGA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45021</v>
      </c>
      <c r="E280" s="1" t="n">
        <v>46239</v>
      </c>
      <c r="F280" t="inlineStr">
        <is>
          <t>VÄSTRA GÖTALANDS LÄN</t>
        </is>
      </c>
      <c r="G280" t="inlineStr">
        <is>
          <t>SVENLJUNGA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46239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45390</v>
      </c>
      <c r="E282" s="1" t="n">
        <v>46239</v>
      </c>
      <c r="F282" t="inlineStr">
        <is>
          <t>VÄSTRA GÖTALANDS LÄN</t>
        </is>
      </c>
      <c r="G282" t="inlineStr">
        <is>
          <t>SVENLJUNGA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45453</v>
      </c>
      <c r="E283" s="1" t="n">
        <v>46239</v>
      </c>
      <c r="F283" t="inlineStr">
        <is>
          <t>VÄSTRA GÖTALANDS LÄN</t>
        </is>
      </c>
      <c r="G283" t="inlineStr">
        <is>
          <t>SVENLJUNGA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46239</v>
      </c>
      <c r="F284" t="inlineStr">
        <is>
          <t>VÄSTRA GÖTALANDS LÄN</t>
        </is>
      </c>
      <c r="G284" t="inlineStr">
        <is>
          <t>SVENLJUNGA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44574</v>
      </c>
      <c r="E285" s="1" t="n">
        <v>46239</v>
      </c>
      <c r="F285" t="inlineStr">
        <is>
          <t>VÄSTRA GÖTALANDS LÄN</t>
        </is>
      </c>
      <c r="G285" t="inlineStr">
        <is>
          <t>SVENLJUNGA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45000</v>
      </c>
      <c r="E286" s="1" t="n">
        <v>46239</v>
      </c>
      <c r="F286" t="inlineStr">
        <is>
          <t>VÄSTRA GÖTALANDS LÄN</t>
        </is>
      </c>
      <c r="G286" t="inlineStr">
        <is>
          <t>SVENLJUNGA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45609</v>
      </c>
      <c r="E287" s="1" t="n">
        <v>46239</v>
      </c>
      <c r="F287" t="inlineStr">
        <is>
          <t>VÄSTRA GÖTALANDS LÄN</t>
        </is>
      </c>
      <c r="G287" t="inlineStr">
        <is>
          <t>SVENLJUNGA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45645</v>
      </c>
      <c r="E288" s="1" t="n">
        <v>46239</v>
      </c>
      <c r="F288" t="inlineStr">
        <is>
          <t>VÄSTRA GÖTALANDS LÄN</t>
        </is>
      </c>
      <c r="G288" t="inlineStr">
        <is>
          <t>SVENLJUNGA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46239</v>
      </c>
      <c r="F289" t="inlineStr">
        <is>
          <t>VÄSTRA GÖTALANDS LÄN</t>
        </is>
      </c>
      <c r="G289" t="inlineStr">
        <is>
          <t>SVENLJUNGA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44837</v>
      </c>
      <c r="E290" s="1" t="n">
        <v>46239</v>
      </c>
      <c r="F290" t="inlineStr">
        <is>
          <t>VÄSTRA GÖTALANDS LÄN</t>
        </is>
      </c>
      <c r="G290" t="inlineStr">
        <is>
          <t>SVENLJUNGA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36106-2023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45149</v>
      </c>
      <c r="E291" s="1" t="n">
        <v>46239</v>
      </c>
      <c r="F291" t="inlineStr">
        <is>
          <t>VÄSTRA GÖTALANDS LÄN</t>
        </is>
      </c>
      <c r="G291" t="inlineStr">
        <is>
          <t>SVENLJUNGA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45736</v>
      </c>
      <c r="E292" s="1" t="n">
        <v>46239</v>
      </c>
      <c r="F292" t="inlineStr">
        <is>
          <t>VÄSTRA GÖTALANDS LÄN</t>
        </is>
      </c>
      <c r="G292" t="inlineStr">
        <is>
          <t>SVENLJUNGA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44754</v>
      </c>
      <c r="E293" s="1" t="n">
        <v>46239</v>
      </c>
      <c r="F293" t="inlineStr">
        <is>
          <t>VÄSTRA GÖTALANDS LÄN</t>
        </is>
      </c>
      <c r="G293" t="inlineStr">
        <is>
          <t>SVENLJUNGA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46239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44785</v>
      </c>
      <c r="E295" s="1" t="n">
        <v>46239</v>
      </c>
      <c r="F295" t="inlineStr">
        <is>
          <t>VÄSTRA GÖTALANDS LÄN</t>
        </is>
      </c>
      <c r="G295" t="inlineStr">
        <is>
          <t>SVENLJUNGA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46239</v>
      </c>
      <c r="F296" t="inlineStr">
        <is>
          <t>VÄSTRA GÖTALANDS LÄN</t>
        </is>
      </c>
      <c r="G296" t="inlineStr">
        <is>
          <t>SVENLJUNGA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46239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21625-2026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46149</v>
      </c>
      <c r="E298" s="1" t="n">
        <v>46239</v>
      </c>
      <c r="F298" t="inlineStr">
        <is>
          <t>VÄSTRA GÖTALANDS LÄN</t>
        </is>
      </c>
      <c r="G298" t="inlineStr">
        <is>
          <t>SVENLJUNGA</t>
        </is>
      </c>
      <c r="H298" t="inlineStr">
        <is>
          <t>Sveaskog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46239</v>
      </c>
      <c r="F299" t="inlineStr">
        <is>
          <t>VÄSTRA GÖTALANDS LÄN</t>
        </is>
      </c>
      <c r="G299" t="inlineStr">
        <is>
          <t>SVENLJUNGA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46239</v>
      </c>
      <c r="F300" t="inlineStr">
        <is>
          <t>VÄSTRA GÖTALANDS LÄN</t>
        </is>
      </c>
      <c r="G300" t="inlineStr">
        <is>
          <t>SVENLJUNGA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45120</v>
      </c>
      <c r="E301" s="1" t="n">
        <v>46239</v>
      </c>
      <c r="F301" t="inlineStr">
        <is>
          <t>VÄSTRA GÖTALANDS LÄN</t>
        </is>
      </c>
      <c r="G301" t="inlineStr">
        <is>
          <t>SVENLJUNGA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46239</v>
      </c>
      <c r="F302" t="inlineStr">
        <is>
          <t>VÄSTRA GÖTALANDS LÄN</t>
        </is>
      </c>
      <c r="G302" t="inlineStr">
        <is>
          <t>SVENLJUNGA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46149</v>
      </c>
      <c r="E303" s="1" t="n">
        <v>46239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7607-2025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45705</v>
      </c>
      <c r="E304" s="1" t="n">
        <v>46239</v>
      </c>
      <c r="F304" t="inlineStr">
        <is>
          <t>VÄSTRA GÖTALANDS LÄN</t>
        </is>
      </c>
      <c r="G304" t="inlineStr">
        <is>
          <t>SVENLJUNGA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45784</v>
      </c>
      <c r="E305" s="1" t="n">
        <v>46239</v>
      </c>
      <c r="F305" t="inlineStr">
        <is>
          <t>VÄSTRA GÖTALANDS LÄN</t>
        </is>
      </c>
      <c r="G305" t="inlineStr">
        <is>
          <t>SVENLJUNGA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46239</v>
      </c>
      <c r="F306" t="inlineStr">
        <is>
          <t>VÄSTRA GÖTALANDS LÄN</t>
        </is>
      </c>
      <c r="G306" t="inlineStr">
        <is>
          <t>SVENLJUNGA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45523</v>
      </c>
      <c r="E307" s="1" t="n">
        <v>46239</v>
      </c>
      <c r="F307" t="inlineStr">
        <is>
          <t>VÄSTRA GÖTALANDS LÄN</t>
        </is>
      </c>
      <c r="G307" t="inlineStr">
        <is>
          <t>SVENLJUNGA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45120</v>
      </c>
      <c r="E308" s="1" t="n">
        <v>46239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45784</v>
      </c>
      <c r="E309" s="1" t="n">
        <v>46239</v>
      </c>
      <c r="F309" t="inlineStr">
        <is>
          <t>VÄSTRA GÖTALANDS LÄN</t>
        </is>
      </c>
      <c r="G309" t="inlineStr">
        <is>
          <t>SVENLJUNGA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46239</v>
      </c>
      <c r="F310" t="inlineStr">
        <is>
          <t>VÄSTRA GÖTALANDS LÄN</t>
        </is>
      </c>
      <c r="G310" t="inlineStr">
        <is>
          <t>SVENLJUNGA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52372-2025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46239</v>
      </c>
      <c r="F311" t="inlineStr">
        <is>
          <t>VÄSTRA GÖTALANDS LÄN</t>
        </is>
      </c>
      <c r="G311" t="inlineStr">
        <is>
          <t>SVENLJUNGA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46239</v>
      </c>
      <c r="F312" t="inlineStr">
        <is>
          <t>VÄSTRA GÖTALANDS LÄN</t>
        </is>
      </c>
      <c r="G312" t="inlineStr">
        <is>
          <t>SVENLJUNGA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46239</v>
      </c>
      <c r="F313" t="inlineStr">
        <is>
          <t>VÄSTRA GÖTALANDS LÄN</t>
        </is>
      </c>
      <c r="G313" t="inlineStr">
        <is>
          <t>SVENLJUNGA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45629</v>
      </c>
      <c r="E314" s="1" t="n">
        <v>46239</v>
      </c>
      <c r="F314" t="inlineStr">
        <is>
          <t>VÄSTRA GÖTALANDS LÄN</t>
        </is>
      </c>
      <c r="G314" t="inlineStr">
        <is>
          <t>SVENLJUNGA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46239</v>
      </c>
      <c r="F315" t="inlineStr">
        <is>
          <t>VÄSTRA GÖTALANDS LÄN</t>
        </is>
      </c>
      <c r="G315" t="inlineStr">
        <is>
          <t>SVENLJUNGA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45738</v>
      </c>
      <c r="E316" s="1" t="n">
        <v>46239</v>
      </c>
      <c r="F316" t="inlineStr">
        <is>
          <t>VÄSTRA GÖTALANDS LÄN</t>
        </is>
      </c>
      <c r="G316" t="inlineStr">
        <is>
          <t>SVENLJUNGA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52373-2025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45953</v>
      </c>
      <c r="E317" s="1" t="n">
        <v>46239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46239</v>
      </c>
      <c r="F318" t="inlineStr">
        <is>
          <t>VÄSTRA GÖTALANDS LÄN</t>
        </is>
      </c>
      <c r="G318" t="inlineStr">
        <is>
          <t>SVENLJUNGA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36493-2022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46239</v>
      </c>
      <c r="F319" t="inlineStr">
        <is>
          <t>VÄSTRA GÖTALANDS LÄN</t>
        </is>
      </c>
      <c r="G319" t="inlineStr">
        <is>
          <t>SVENLJUNGA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12785-2024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45384</v>
      </c>
      <c r="E320" s="1" t="n">
        <v>46239</v>
      </c>
      <c r="F320" t="inlineStr">
        <is>
          <t>VÄSTRA GÖTALANDS LÄN</t>
        </is>
      </c>
      <c r="G320" t="inlineStr">
        <is>
          <t>SVENLJUNGA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45572</v>
      </c>
      <c r="E321" s="1" t="n">
        <v>46239</v>
      </c>
      <c r="F321" t="inlineStr">
        <is>
          <t>VÄSTRA GÖTALANDS LÄN</t>
        </is>
      </c>
      <c r="G321" t="inlineStr">
        <is>
          <t>SVENLJUNGA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46239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46239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46239</v>
      </c>
      <c r="F324" t="inlineStr">
        <is>
          <t>VÄSTRA GÖTALANDS LÄN</t>
        </is>
      </c>
      <c r="G324" t="inlineStr">
        <is>
          <t>SVENLJUNGA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45531</v>
      </c>
      <c r="E325" s="1" t="n">
        <v>46239</v>
      </c>
      <c r="F325" t="inlineStr">
        <is>
          <t>VÄSTRA GÖTALANDS LÄN</t>
        </is>
      </c>
      <c r="G325" t="inlineStr">
        <is>
          <t>SVENLJUNGA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46239</v>
      </c>
      <c r="F326" t="inlineStr">
        <is>
          <t>VÄSTRA GÖTALANDS LÄN</t>
        </is>
      </c>
      <c r="G326" t="inlineStr">
        <is>
          <t>SVENLJUNGA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46239</v>
      </c>
      <c r="F327" t="inlineStr">
        <is>
          <t>VÄSTRA GÖTALANDS LÄN</t>
        </is>
      </c>
      <c r="G327" t="inlineStr">
        <is>
          <t>SVENLJUNGA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45559</v>
      </c>
      <c r="E328" s="1" t="n">
        <v>46239</v>
      </c>
      <c r="F328" t="inlineStr">
        <is>
          <t>VÄSTRA GÖTALANDS LÄN</t>
        </is>
      </c>
      <c r="G328" t="inlineStr">
        <is>
          <t>SVENLJUNGA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46239</v>
      </c>
      <c r="F329" t="inlineStr">
        <is>
          <t>VÄSTRA GÖTALANDS LÄN</t>
        </is>
      </c>
      <c r="G329" t="inlineStr">
        <is>
          <t>SVENLJUNGA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55144-2025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45968</v>
      </c>
      <c r="E330" s="1" t="n">
        <v>46239</v>
      </c>
      <c r="F330" t="inlineStr">
        <is>
          <t>VÄSTRA GÖTALANDS LÄN</t>
        </is>
      </c>
      <c r="G330" t="inlineStr">
        <is>
          <t>SVENLJUNGA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46239</v>
      </c>
      <c r="F331" t="inlineStr">
        <is>
          <t>VÄSTRA GÖTALANDS LÄN</t>
        </is>
      </c>
      <c r="G331" t="inlineStr">
        <is>
          <t>SVENLJUNGA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46239</v>
      </c>
      <c r="F332" t="inlineStr">
        <is>
          <t>VÄSTRA GÖTALANDS LÄN</t>
        </is>
      </c>
      <c r="G332" t="inlineStr">
        <is>
          <t>SVENLJUNGA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46239</v>
      </c>
      <c r="F333" t="inlineStr">
        <is>
          <t>VÄSTRA GÖTALANDS LÄN</t>
        </is>
      </c>
      <c r="G333" t="inlineStr">
        <is>
          <t>SVENLJUNGA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46239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49184-2021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44454</v>
      </c>
      <c r="E335" s="1" t="n">
        <v>46239</v>
      </c>
      <c r="F335" t="inlineStr">
        <is>
          <t>VÄSTRA GÖTALANDS LÄN</t>
        </is>
      </c>
      <c r="G335" t="inlineStr">
        <is>
          <t>SVENLJUNGA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44033-2023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45182</v>
      </c>
      <c r="E336" s="1" t="n">
        <v>46239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Kyrkan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46239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42722-2022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44832</v>
      </c>
      <c r="E338" s="1" t="n">
        <v>46239</v>
      </c>
      <c r="F338" t="inlineStr">
        <is>
          <t>VÄSTRA GÖTALANDS LÄN</t>
        </is>
      </c>
      <c r="G338" t="inlineStr">
        <is>
          <t>SVENLJUNGA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46239</v>
      </c>
      <c r="F339" t="inlineStr">
        <is>
          <t>VÄSTRA GÖTALANDS LÄN</t>
        </is>
      </c>
      <c r="G339" t="inlineStr">
        <is>
          <t>SVENLJUNGA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46239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46239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46239</v>
      </c>
      <c r="F342" t="inlineStr">
        <is>
          <t>VÄSTRA GÖTALANDS LÄN</t>
        </is>
      </c>
      <c r="G342" t="inlineStr">
        <is>
          <t>SVENLJUNGA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46239</v>
      </c>
      <c r="F343" t="inlineStr">
        <is>
          <t>VÄSTRA GÖTALANDS LÄN</t>
        </is>
      </c>
      <c r="G343" t="inlineStr">
        <is>
          <t>SVENLJUNGA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46205</v>
      </c>
      <c r="E344" s="1" t="n">
        <v>46239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46239</v>
      </c>
      <c r="F345" t="inlineStr">
        <is>
          <t>VÄSTRA GÖTALANDS LÄN</t>
        </is>
      </c>
      <c r="G345" t="inlineStr">
        <is>
          <t>SVENLJUNGA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44895</v>
      </c>
      <c r="E346" s="1" t="n">
        <v>46239</v>
      </c>
      <c r="F346" t="inlineStr">
        <is>
          <t>VÄSTRA GÖTALANDS LÄN</t>
        </is>
      </c>
      <c r="G346" t="inlineStr">
        <is>
          <t>SVENLJUNGA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45742</v>
      </c>
      <c r="E347" s="1" t="n">
        <v>46239</v>
      </c>
      <c r="F347" t="inlineStr">
        <is>
          <t>VÄSTRA GÖTALANDS LÄN</t>
        </is>
      </c>
      <c r="G347" t="inlineStr">
        <is>
          <t>SVENLJUNGA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46239</v>
      </c>
      <c r="F348" t="inlineStr">
        <is>
          <t>VÄSTRA GÖTALANDS LÄN</t>
        </is>
      </c>
      <c r="G348" t="inlineStr">
        <is>
          <t>SVENLJUNGA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52234-2023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45224</v>
      </c>
      <c r="E349" s="1" t="n">
        <v>46239</v>
      </c>
      <c r="F349" t="inlineStr">
        <is>
          <t>VÄSTRA GÖTALANDS LÄN</t>
        </is>
      </c>
      <c r="G349" t="inlineStr">
        <is>
          <t>SVENLJUNGA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46239</v>
      </c>
      <c r="F350" t="inlineStr">
        <is>
          <t>VÄSTRA GÖTALANDS LÄN</t>
        </is>
      </c>
      <c r="G350" t="inlineStr">
        <is>
          <t>SVENLJUNGA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46239</v>
      </c>
      <c r="F351" t="inlineStr">
        <is>
          <t>VÄSTRA GÖTALANDS LÄN</t>
        </is>
      </c>
      <c r="G351" t="inlineStr">
        <is>
          <t>SVENLJUNGA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30361-2026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46209</v>
      </c>
      <c r="E352" s="1" t="n">
        <v>46239</v>
      </c>
      <c r="F352" t="inlineStr">
        <is>
          <t>VÄSTRA GÖTALANDS LÄN</t>
        </is>
      </c>
      <c r="G352" t="inlineStr">
        <is>
          <t>SVENLJUNGA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46239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46239</v>
      </c>
      <c r="F354" t="inlineStr">
        <is>
          <t>VÄSTRA GÖTALANDS LÄN</t>
        </is>
      </c>
      <c r="G354" t="inlineStr">
        <is>
          <t>SVENLJUNGA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45993</v>
      </c>
      <c r="E355" s="1" t="n">
        <v>46239</v>
      </c>
      <c r="F355" t="inlineStr">
        <is>
          <t>VÄSTRA GÖTALANDS LÄN</t>
        </is>
      </c>
      <c r="G355" t="inlineStr">
        <is>
          <t>SVENLJUNGA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30355-2026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46209</v>
      </c>
      <c r="E356" s="1" t="n">
        <v>46239</v>
      </c>
      <c r="F356" t="inlineStr">
        <is>
          <t>VÄSTRA GÖTALANDS LÄN</t>
        </is>
      </c>
      <c r="G356" t="inlineStr">
        <is>
          <t>SVENLJUNGA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46239</v>
      </c>
      <c r="F357" t="inlineStr">
        <is>
          <t>VÄSTRA GÖTALANDS LÄN</t>
        </is>
      </c>
      <c r="G357" t="inlineStr">
        <is>
          <t>SVENLJUNGA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46239</v>
      </c>
      <c r="F358" t="inlineStr">
        <is>
          <t>VÄSTRA GÖTALANDS LÄN</t>
        </is>
      </c>
      <c r="G358" t="inlineStr">
        <is>
          <t>SVENLJUNGA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46239</v>
      </c>
      <c r="F359" t="inlineStr">
        <is>
          <t>VÄSTRA GÖTALANDS LÄN</t>
        </is>
      </c>
      <c r="G359" t="inlineStr">
        <is>
          <t>SVENLJUNGA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45678</v>
      </c>
      <c r="E360" s="1" t="n">
        <v>46239</v>
      </c>
      <c r="F360" t="inlineStr">
        <is>
          <t>VÄSTRA GÖTALANDS LÄN</t>
        </is>
      </c>
      <c r="G360" t="inlineStr">
        <is>
          <t>SVENLJUNGA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56093-2023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45236</v>
      </c>
      <c r="E361" s="1" t="n">
        <v>46239</v>
      </c>
      <c r="F361" t="inlineStr">
        <is>
          <t>VÄSTRA GÖTALANDS LÄN</t>
        </is>
      </c>
      <c r="G361" t="inlineStr">
        <is>
          <t>SVENLJUNGA</t>
        </is>
      </c>
      <c r="I361" t="n">
        <v>8.1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56098-2023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45236</v>
      </c>
      <c r="E362" s="1" t="n">
        <v>46239</v>
      </c>
      <c r="F362" t="inlineStr">
        <is>
          <t>VÄSTRA GÖTALANDS LÄN</t>
        </is>
      </c>
      <c r="G362" t="inlineStr">
        <is>
          <t>SVENLJUNGA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46239</v>
      </c>
      <c r="F363" t="inlineStr">
        <is>
          <t>VÄSTRA GÖTALANDS LÄN</t>
        </is>
      </c>
      <c r="G363" t="inlineStr">
        <is>
          <t>SVENLJUNGA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46002</v>
      </c>
      <c r="E364" s="1" t="n">
        <v>46239</v>
      </c>
      <c r="F364" t="inlineStr">
        <is>
          <t>VÄSTRA GÖTALANDS LÄN</t>
        </is>
      </c>
      <c r="G364" t="inlineStr">
        <is>
          <t>SVENLJUNGA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46002</v>
      </c>
      <c r="E365" s="1" t="n">
        <v>46239</v>
      </c>
      <c r="F365" t="inlineStr">
        <is>
          <t>VÄSTRA GÖTALANDS LÄN</t>
        </is>
      </c>
      <c r="G365" t="inlineStr">
        <is>
          <t>SVENLJUNGA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46239</v>
      </c>
      <c r="F366" t="inlineStr">
        <is>
          <t>VÄSTRA GÖTALANDS LÄN</t>
        </is>
      </c>
      <c r="G366" t="inlineStr">
        <is>
          <t>SVENLJUNGA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46002</v>
      </c>
      <c r="E367" s="1" t="n">
        <v>46239</v>
      </c>
      <c r="F367" t="inlineStr">
        <is>
          <t>VÄSTRA GÖTALANDS LÄN</t>
        </is>
      </c>
      <c r="G367" t="inlineStr">
        <is>
          <t>SVENLJUNGA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46239</v>
      </c>
      <c r="F368" t="inlineStr">
        <is>
          <t>VÄSTRA GÖTALANDS LÄN</t>
        </is>
      </c>
      <c r="G368" t="inlineStr">
        <is>
          <t>SVENLJUNGA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46169</v>
      </c>
      <c r="E369" s="1" t="n">
        <v>46239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46239</v>
      </c>
      <c r="F370" t="inlineStr">
        <is>
          <t>VÄSTRA GÖTALANDS LÄN</t>
        </is>
      </c>
      <c r="G370" t="inlineStr">
        <is>
          <t>SVENLJUNGA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62332-2025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46239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46239</v>
      </c>
      <c r="F372" t="inlineStr">
        <is>
          <t>VÄSTRA GÖTALANDS LÄN</t>
        </is>
      </c>
      <c r="G372" t="inlineStr">
        <is>
          <t>SVENLJUNGA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46239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45834</v>
      </c>
      <c r="E374" s="1" t="n">
        <v>46239</v>
      </c>
      <c r="F374" t="inlineStr">
        <is>
          <t>VÄSTRA GÖTALANDS LÄN</t>
        </is>
      </c>
      <c r="G374" t="inlineStr">
        <is>
          <t>SVENLJUNGA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46239</v>
      </c>
      <c r="F375" t="inlineStr">
        <is>
          <t>VÄSTRA GÖTALANDS LÄN</t>
        </is>
      </c>
      <c r="G375" t="inlineStr">
        <is>
          <t>SVENLJUNGA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46239</v>
      </c>
      <c r="F376" t="inlineStr">
        <is>
          <t>VÄSTRA GÖTALANDS LÄN</t>
        </is>
      </c>
      <c r="G376" t="inlineStr">
        <is>
          <t>SVENLJUNGA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46239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46239</v>
      </c>
      <c r="F378" t="inlineStr">
        <is>
          <t>VÄSTRA GÖTALANDS LÄN</t>
        </is>
      </c>
      <c r="G378" t="inlineStr">
        <is>
          <t>SVENLJUNGA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46239</v>
      </c>
      <c r="F379" t="inlineStr">
        <is>
          <t>VÄSTRA GÖTALANDS LÄN</t>
        </is>
      </c>
      <c r="G379" t="inlineStr">
        <is>
          <t>SVENLJUNGA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46239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46239</v>
      </c>
      <c r="F381" t="inlineStr">
        <is>
          <t>VÄSTRA GÖTALANDS LÄN</t>
        </is>
      </c>
      <c r="G381" t="inlineStr">
        <is>
          <t>SVENLJUNGA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45687</v>
      </c>
      <c r="E382" s="1" t="n">
        <v>46239</v>
      </c>
      <c r="F382" t="inlineStr">
        <is>
          <t>VÄSTRA GÖTALANDS LÄN</t>
        </is>
      </c>
      <c r="G382" t="inlineStr">
        <is>
          <t>SVENLJUNGA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46239</v>
      </c>
      <c r="F383" t="inlineStr">
        <is>
          <t>VÄSTRA GÖTALANDS LÄN</t>
        </is>
      </c>
      <c r="G383" t="inlineStr">
        <is>
          <t>SVENLJUNGA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46239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45693</v>
      </c>
      <c r="E385" s="1" t="n">
        <v>46239</v>
      </c>
      <c r="F385" t="inlineStr">
        <is>
          <t>VÄSTRA GÖTALANDS LÄN</t>
        </is>
      </c>
      <c r="G385" t="inlineStr">
        <is>
          <t>SVENLJUNGA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46239</v>
      </c>
      <c r="F386" t="inlineStr">
        <is>
          <t>VÄSTRA GÖTALANDS LÄN</t>
        </is>
      </c>
      <c r="G386" t="inlineStr">
        <is>
          <t>SVENLJUNGA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45709</v>
      </c>
      <c r="E387" s="1" t="n">
        <v>46239</v>
      </c>
      <c r="F387" t="inlineStr">
        <is>
          <t>VÄSTRA GÖTALANDS LÄN</t>
        </is>
      </c>
      <c r="G387" t="inlineStr">
        <is>
          <t>SVENLJUNGA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46239</v>
      </c>
      <c r="F388" t="inlineStr">
        <is>
          <t>VÄSTRA GÖTALANDS LÄN</t>
        </is>
      </c>
      <c r="G388" t="inlineStr">
        <is>
          <t>SVENLJUNGA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46239</v>
      </c>
      <c r="F389" t="inlineStr">
        <is>
          <t>VÄSTRA GÖTALANDS LÄN</t>
        </is>
      </c>
      <c r="G389" t="inlineStr">
        <is>
          <t>SVENLJUNGA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46239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46239</v>
      </c>
      <c r="F391" t="inlineStr">
        <is>
          <t>VÄSTRA GÖTALANDS LÄN</t>
        </is>
      </c>
      <c r="G391" t="inlineStr">
        <is>
          <t>SVENLJUNGA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46239</v>
      </c>
      <c r="F392" t="inlineStr">
        <is>
          <t>VÄSTRA GÖTALANDS LÄN</t>
        </is>
      </c>
      <c r="G392" t="inlineStr">
        <is>
          <t>SVENLJUNGA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61094-2022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44915</v>
      </c>
      <c r="E393" s="1" t="n">
        <v>46239</v>
      </c>
      <c r="F393" t="inlineStr">
        <is>
          <t>VÄSTRA GÖTALANDS LÄN</t>
        </is>
      </c>
      <c r="G393" t="inlineStr">
        <is>
          <t>SVENLJUNGA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46239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46239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Kommuner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45572</v>
      </c>
      <c r="E396" s="1" t="n">
        <v>46239</v>
      </c>
      <c r="F396" t="inlineStr">
        <is>
          <t>VÄSTRA GÖTALANDS LÄN</t>
        </is>
      </c>
      <c r="G396" t="inlineStr">
        <is>
          <t>SVENLJUNGA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45736</v>
      </c>
      <c r="E397" s="1" t="n">
        <v>46239</v>
      </c>
      <c r="F397" t="inlineStr">
        <is>
          <t>VÄSTRA GÖTALANDS LÄN</t>
        </is>
      </c>
      <c r="G397" t="inlineStr">
        <is>
          <t>SVENLJUNGA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46239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Kyrkan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45358</v>
      </c>
      <c r="E399" s="1" t="n">
        <v>46239</v>
      </c>
      <c r="F399" t="inlineStr">
        <is>
          <t>VÄSTRA GÖTALANDS LÄN</t>
        </is>
      </c>
      <c r="G399" t="inlineStr">
        <is>
          <t>SVENLJUNGA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43430-2021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44432</v>
      </c>
      <c r="E400" s="1" t="n">
        <v>46239</v>
      </c>
      <c r="F400" t="inlineStr">
        <is>
          <t>VÄSTRA GÖTALANDS LÄN</t>
        </is>
      </c>
      <c r="G400" t="inlineStr">
        <is>
          <t>SVENLJUNGA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46239</v>
      </c>
      <c r="F401" t="inlineStr">
        <is>
          <t>VÄSTRA GÖTALANDS LÄN</t>
        </is>
      </c>
      <c r="G401" t="inlineStr">
        <is>
          <t>SVENLJUNGA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45480-2021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44440</v>
      </c>
      <c r="E402" s="1" t="n">
        <v>46239</v>
      </c>
      <c r="F402" t="inlineStr">
        <is>
          <t>VÄSTRA GÖTALANDS LÄN</t>
        </is>
      </c>
      <c r="G402" t="inlineStr">
        <is>
          <t>SVENLJUNGA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46239</v>
      </c>
      <c r="F403" t="inlineStr">
        <is>
          <t>VÄSTRA GÖTALANDS LÄN</t>
        </is>
      </c>
      <c r="G403" t="inlineStr">
        <is>
          <t>SVENLJUNGA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46239</v>
      </c>
      <c r="F404" t="inlineStr">
        <is>
          <t>VÄSTRA GÖTALANDS LÄN</t>
        </is>
      </c>
      <c r="G404" t="inlineStr">
        <is>
          <t>SVENLJUNGA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45091</v>
      </c>
      <c r="E405" s="1" t="n">
        <v>46239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46239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45400</v>
      </c>
      <c r="E407" s="1" t="n">
        <v>46239</v>
      </c>
      <c r="F407" t="inlineStr">
        <is>
          <t>VÄSTRA GÖTALANDS LÄN</t>
        </is>
      </c>
      <c r="G407" t="inlineStr">
        <is>
          <t>SVENLJUNGA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45400</v>
      </c>
      <c r="E408" s="1" t="n">
        <v>46239</v>
      </c>
      <c r="F408" t="inlineStr">
        <is>
          <t>VÄSTRA GÖTALANDS LÄN</t>
        </is>
      </c>
      <c r="G408" t="inlineStr">
        <is>
          <t>SVENLJUNGA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45400</v>
      </c>
      <c r="E409" s="1" t="n">
        <v>46239</v>
      </c>
      <c r="F409" t="inlineStr">
        <is>
          <t>VÄSTRA GÖTALANDS LÄN</t>
        </is>
      </c>
      <c r="G409" t="inlineStr">
        <is>
          <t>SVENLJUNGA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46239</v>
      </c>
      <c r="F410" t="inlineStr">
        <is>
          <t>VÄSTRA GÖTALANDS LÄN</t>
        </is>
      </c>
      <c r="G410" t="inlineStr">
        <is>
          <t>SVENLJUNGA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45751</v>
      </c>
      <c r="E411" s="1" t="n">
        <v>46239</v>
      </c>
      <c r="F411" t="inlineStr">
        <is>
          <t>VÄSTRA GÖTALANDS LÄN</t>
        </is>
      </c>
      <c r="G411" t="inlineStr">
        <is>
          <t>SVENLJUNGA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46231</v>
      </c>
      <c r="E412" s="1" t="n">
        <v>46239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Kyrkan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46239</v>
      </c>
      <c r="F413" t="inlineStr">
        <is>
          <t>VÄSTRA GÖTALANDS LÄN</t>
        </is>
      </c>
      <c r="G413" t="inlineStr">
        <is>
          <t>SVENLJUNGA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45491</v>
      </c>
      <c r="E414" s="1" t="n">
        <v>46239</v>
      </c>
      <c r="F414" t="inlineStr">
        <is>
          <t>VÄSTRA GÖTALANDS LÄN</t>
        </is>
      </c>
      <c r="G414" t="inlineStr">
        <is>
          <t>SVENLJUNGA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52027-2023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46239</v>
      </c>
      <c r="F415" t="inlineStr">
        <is>
          <t>VÄSTRA GÖTALANDS LÄN</t>
        </is>
      </c>
      <c r="G415" t="inlineStr">
        <is>
          <t>SVENLJUNGA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40552-2024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45555</v>
      </c>
      <c r="E416" s="1" t="n">
        <v>46239</v>
      </c>
      <c r="F416" t="inlineStr">
        <is>
          <t>VÄSTRA GÖTALANDS LÄN</t>
        </is>
      </c>
      <c r="G416" t="inlineStr">
        <is>
          <t>SVENLJUNGA</t>
        </is>
      </c>
      <c r="H416" t="inlineStr">
        <is>
          <t>Kommuner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46239</v>
      </c>
      <c r="F417" t="inlineStr">
        <is>
          <t>VÄSTRA GÖTALANDS LÄN</t>
        </is>
      </c>
      <c r="G417" t="inlineStr">
        <is>
          <t>SVENLJUNGA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45000</v>
      </c>
      <c r="E418" s="1" t="n">
        <v>46239</v>
      </c>
      <c r="F418" t="inlineStr">
        <is>
          <t>VÄSTRA GÖTALANDS LÄN</t>
        </is>
      </c>
      <c r="G418" t="inlineStr">
        <is>
          <t>SVENLJUNGA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45034</v>
      </c>
      <c r="E419" s="1" t="n">
        <v>46239</v>
      </c>
      <c r="F419" t="inlineStr">
        <is>
          <t>VÄSTRA GÖTALANDS LÄN</t>
        </is>
      </c>
      <c r="G419" t="inlineStr">
        <is>
          <t>SVENLJUNGA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46066</v>
      </c>
      <c r="E420" s="1" t="n">
        <v>46239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46239</v>
      </c>
      <c r="F421" t="inlineStr">
        <is>
          <t>VÄSTRA GÖTALANDS LÄN</t>
        </is>
      </c>
      <c r="G421" t="inlineStr">
        <is>
          <t>SVENLJUNGA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44981</v>
      </c>
      <c r="E422" s="1" t="n">
        <v>46239</v>
      </c>
      <c r="F422" t="inlineStr">
        <is>
          <t>VÄSTRA GÖTALANDS LÄN</t>
        </is>
      </c>
      <c r="G422" t="inlineStr">
        <is>
          <t>SVENLJUNGA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46239</v>
      </c>
      <c r="F423" t="inlineStr">
        <is>
          <t>VÄSTRA GÖTALANDS LÄN</t>
        </is>
      </c>
      <c r="G423" t="inlineStr">
        <is>
          <t>SVENLJUNGA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44958</v>
      </c>
      <c r="E424" s="1" t="n">
        <v>46239</v>
      </c>
      <c r="F424" t="inlineStr">
        <is>
          <t>VÄSTRA GÖTALANDS LÄN</t>
        </is>
      </c>
      <c r="G424" t="inlineStr">
        <is>
          <t>SVENLJUNGA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44958</v>
      </c>
      <c r="E425" s="1" t="n">
        <v>46239</v>
      </c>
      <c r="F425" t="inlineStr">
        <is>
          <t>VÄSTRA GÖTALANDS LÄN</t>
        </is>
      </c>
      <c r="G425" t="inlineStr">
        <is>
          <t>SVENLJUNGA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46239</v>
      </c>
      <c r="F426" t="inlineStr">
        <is>
          <t>VÄSTRA GÖTALANDS LÄN</t>
        </is>
      </c>
      <c r="G426" t="inlineStr">
        <is>
          <t>SVENLJUNGA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10359-2026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46076</v>
      </c>
      <c r="E427" s="1" t="n">
        <v>46239</v>
      </c>
      <c r="F427" t="inlineStr">
        <is>
          <t>VÄSTRA GÖTALANDS LÄN</t>
        </is>
      </c>
      <c r="G427" t="inlineStr">
        <is>
          <t>SVENLJUNGA</t>
        </is>
      </c>
      <c r="H427" t="inlineStr">
        <is>
          <t>Kommuner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57904-2021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44486</v>
      </c>
      <c r="E428" s="1" t="n">
        <v>46239</v>
      </c>
      <c r="F428" t="inlineStr">
        <is>
          <t>VÄSTRA GÖTALANDS LÄN</t>
        </is>
      </c>
      <c r="G428" t="inlineStr">
        <is>
          <t>SVENLJUNGA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52108-2021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44463</v>
      </c>
      <c r="E429" s="1" t="n">
        <v>46239</v>
      </c>
      <c r="F429" t="inlineStr">
        <is>
          <t>VÄSTRA GÖTALANDS LÄN</t>
        </is>
      </c>
      <c r="G429" t="inlineStr">
        <is>
          <t>SVENLJUNGA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46239</v>
      </c>
      <c r="F430" t="inlineStr">
        <is>
          <t>VÄSTRA GÖTALANDS LÄN</t>
        </is>
      </c>
      <c r="G430" t="inlineStr">
        <is>
          <t>SVENLJUNGA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10983-2026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46239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45048</v>
      </c>
      <c r="E432" s="1" t="n">
        <v>46239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46239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46239</v>
      </c>
      <c r="F434" t="inlineStr">
        <is>
          <t>VÄSTRA GÖTALANDS LÄN</t>
        </is>
      </c>
      <c r="G434" t="inlineStr">
        <is>
          <t>SVENLJUNGA</t>
        </is>
      </c>
      <c r="H434" t="inlineStr">
        <is>
          <t>Sveaskog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46239</v>
      </c>
      <c r="F435" t="inlineStr">
        <is>
          <t>VÄSTRA GÖTALANDS LÄN</t>
        </is>
      </c>
      <c r="G435" t="inlineStr">
        <is>
          <t>SVENLJUNGA</t>
        </is>
      </c>
      <c r="H435" t="inlineStr">
        <is>
          <t>Sveaskog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46239</v>
      </c>
      <c r="F436" t="inlineStr">
        <is>
          <t>VÄSTRA GÖTALANDS LÄN</t>
        </is>
      </c>
      <c r="G436" t="inlineStr">
        <is>
          <t>SVENLJUNGA</t>
        </is>
      </c>
      <c r="H436" t="inlineStr">
        <is>
          <t>Sveaskog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46239</v>
      </c>
      <c r="F437" t="inlineStr">
        <is>
          <t>VÄSTRA GÖTALANDS LÄN</t>
        </is>
      </c>
      <c r="G437" t="inlineStr">
        <is>
          <t>SVENLJUNGA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46090</v>
      </c>
      <c r="E438" s="1" t="n">
        <v>46239</v>
      </c>
      <c r="F438" t="inlineStr">
        <is>
          <t>VÄSTRA GÖTALANDS LÄN</t>
        </is>
      </c>
      <c r="G438" t="inlineStr">
        <is>
          <t>SVENLJUNGA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46239</v>
      </c>
      <c r="F439" t="inlineStr">
        <is>
          <t>VÄSTRA GÖTALANDS LÄN</t>
        </is>
      </c>
      <c r="G439" t="inlineStr">
        <is>
          <t>SVENLJUNGA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45322</v>
      </c>
      <c r="E440" s="1" t="n">
        <v>46239</v>
      </c>
      <c r="F440" t="inlineStr">
        <is>
          <t>VÄSTRA GÖTALANDS LÄN</t>
        </is>
      </c>
      <c r="G440" t="inlineStr">
        <is>
          <t>SVENLJUNGA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37110-2022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44806</v>
      </c>
      <c r="E441" s="1" t="n">
        <v>46239</v>
      </c>
      <c r="F441" t="inlineStr">
        <is>
          <t>VÄSTRA GÖTALANDS LÄN</t>
        </is>
      </c>
      <c r="G441" t="inlineStr">
        <is>
          <t>SVENLJUNGA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46239</v>
      </c>
      <c r="F442" t="inlineStr">
        <is>
          <t>VÄSTRA GÖTALANDS LÄN</t>
        </is>
      </c>
      <c r="G442" t="inlineStr">
        <is>
          <t>SVENLJUNGA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46239</v>
      </c>
      <c r="F443" t="inlineStr">
        <is>
          <t>VÄSTRA GÖTALANDS LÄN</t>
        </is>
      </c>
      <c r="G443" t="inlineStr">
        <is>
          <t>SVENLJUNGA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45062</v>
      </c>
      <c r="E444" s="1" t="n">
        <v>46239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66109-2021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44517</v>
      </c>
      <c r="E445" s="1" t="n">
        <v>46239</v>
      </c>
      <c r="F445" t="inlineStr">
        <is>
          <t>VÄSTRA GÖTALANDS LÄN</t>
        </is>
      </c>
      <c r="G445" t="inlineStr">
        <is>
          <t>SVENLJUNGA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46239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45002</v>
      </c>
      <c r="E447" s="1" t="n">
        <v>46239</v>
      </c>
      <c r="F447" t="inlineStr">
        <is>
          <t>VÄSTRA GÖTALANDS LÄN</t>
        </is>
      </c>
      <c r="G447" t="inlineStr">
        <is>
          <t>SVENLJUNGA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46239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46239</v>
      </c>
      <c r="F449" t="inlineStr">
        <is>
          <t>VÄSTRA GÖTALANDS LÄN</t>
        </is>
      </c>
      <c r="G449" t="inlineStr">
        <is>
          <t>SVENLJUNGA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45111</v>
      </c>
      <c r="E450" s="1" t="n">
        <v>46239</v>
      </c>
      <c r="F450" t="inlineStr">
        <is>
          <t>VÄSTRA GÖTALANDS LÄN</t>
        </is>
      </c>
      <c r="G450" t="inlineStr">
        <is>
          <t>SVENLJUNGA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63556-2023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45275</v>
      </c>
      <c r="E451" s="1" t="n">
        <v>46239</v>
      </c>
      <c r="F451" t="inlineStr">
        <is>
          <t>VÄSTRA GÖTALANDS LÄN</t>
        </is>
      </c>
      <c r="G451" t="inlineStr">
        <is>
          <t>SVENLJUNGA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45020</v>
      </c>
      <c r="E452" s="1" t="n">
        <v>46239</v>
      </c>
      <c r="F452" t="inlineStr">
        <is>
          <t>VÄSTRA GÖTALANDS LÄN</t>
        </is>
      </c>
      <c r="G452" t="inlineStr">
        <is>
          <t>SVENLJUNGA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46239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46239</v>
      </c>
      <c r="F454" t="inlineStr">
        <is>
          <t>VÄSTRA GÖTALANDS LÄN</t>
        </is>
      </c>
      <c r="G454" t="inlineStr">
        <is>
          <t>SVENLJUNGA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46239</v>
      </c>
      <c r="F455" t="inlineStr">
        <is>
          <t>VÄSTRA GÖTALANDS LÄN</t>
        </is>
      </c>
      <c r="G455" t="inlineStr">
        <is>
          <t>SVENLJUNGA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46239</v>
      </c>
      <c r="F456" t="inlineStr">
        <is>
          <t>VÄSTRA GÖTALANDS LÄN</t>
        </is>
      </c>
      <c r="G456" t="inlineStr">
        <is>
          <t>SVENLJUNGA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46239</v>
      </c>
      <c r="F457" t="inlineStr">
        <is>
          <t>VÄSTRA GÖTALANDS LÄN</t>
        </is>
      </c>
      <c r="G457" t="inlineStr">
        <is>
          <t>SVENLJUNGA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44579</v>
      </c>
      <c r="E458" s="1" t="n">
        <v>46239</v>
      </c>
      <c r="F458" t="inlineStr">
        <is>
          <t>VÄSTRA GÖTALANDS LÄN</t>
        </is>
      </c>
      <c r="G458" t="inlineStr">
        <is>
          <t>SVENLJUNGA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29692-2023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45107</v>
      </c>
      <c r="E459" s="1" t="n">
        <v>46239</v>
      </c>
      <c r="F459" t="inlineStr">
        <is>
          <t>VÄSTRA GÖTALANDS LÄN</t>
        </is>
      </c>
      <c r="G459" t="inlineStr">
        <is>
          <t>SVENLJUNGA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46239</v>
      </c>
      <c r="F460" t="inlineStr">
        <is>
          <t>VÄSTRA GÖTALANDS LÄN</t>
        </is>
      </c>
      <c r="G460" t="inlineStr">
        <is>
          <t>SVENLJUNGA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46239</v>
      </c>
      <c r="F461" t="inlineStr">
        <is>
          <t>VÄSTRA GÖTALANDS LÄN</t>
        </is>
      </c>
      <c r="G461" t="inlineStr">
        <is>
          <t>SVENLJUNGA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10517-2023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44987</v>
      </c>
      <c r="E462" s="1" t="n">
        <v>46239</v>
      </c>
      <c r="F462" t="inlineStr">
        <is>
          <t>VÄSTRA GÖTALANDS LÄN</t>
        </is>
      </c>
      <c r="G462" t="inlineStr">
        <is>
          <t>SVENLJUNGA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16344-2024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46239</v>
      </c>
      <c r="F463" t="inlineStr">
        <is>
          <t>VÄSTRA GÖTALANDS LÄN</t>
        </is>
      </c>
      <c r="G463" t="inlineStr">
        <is>
          <t>SVENLJUNGA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46120</v>
      </c>
      <c r="E464" s="1" t="n">
        <v>46239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10894-2024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45370</v>
      </c>
      <c r="E465" s="1" t="n">
        <v>46239</v>
      </c>
      <c r="F465" t="inlineStr">
        <is>
          <t>VÄSTRA GÖTALANDS LÄN</t>
        </is>
      </c>
      <c r="G465" t="inlineStr">
        <is>
          <t>SVENLJUNGA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46936-2024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45585</v>
      </c>
      <c r="E466" s="1" t="n">
        <v>46239</v>
      </c>
      <c r="F466" t="inlineStr">
        <is>
          <t>VÄSTRA GÖTALANDS LÄN</t>
        </is>
      </c>
      <c r="G466" t="inlineStr">
        <is>
          <t>SVENLJUNGA</t>
        </is>
      </c>
      <c r="I466" t="n">
        <v>10.1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45588</v>
      </c>
      <c r="E467" s="1" t="n">
        <v>46239</v>
      </c>
      <c r="F467" t="inlineStr">
        <is>
          <t>VÄSTRA GÖTALANDS LÄN</t>
        </is>
      </c>
      <c r="G467" t="inlineStr">
        <is>
          <t>SVENLJUNGA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45270-2023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46239</v>
      </c>
      <c r="F468" t="inlineStr">
        <is>
          <t>VÄSTRA GÖTALANDS LÄN</t>
        </is>
      </c>
      <c r="G468" t="inlineStr">
        <is>
          <t>SVENLJUNGA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45271-2023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46239</v>
      </c>
      <c r="F469" t="inlineStr">
        <is>
          <t>VÄSTRA GÖTALANDS LÄN</t>
        </is>
      </c>
      <c r="G469" t="inlineStr">
        <is>
          <t>SVENLJUNGA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16400-2025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45751</v>
      </c>
      <c r="E470" s="1" t="n">
        <v>46239</v>
      </c>
      <c r="F470" t="inlineStr">
        <is>
          <t>VÄSTRA GÖTALANDS LÄN</t>
        </is>
      </c>
      <c r="G470" t="inlineStr">
        <is>
          <t>SVENLJUNGA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45560</v>
      </c>
      <c r="E471" s="1" t="n">
        <v>46239</v>
      </c>
      <c r="F471" t="inlineStr">
        <is>
          <t>VÄSTRA GÖTALANDS LÄN</t>
        </is>
      </c>
      <c r="G471" t="inlineStr">
        <is>
          <t>SVENLJUNGA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45334</v>
      </c>
      <c r="E472" s="1" t="n">
        <v>46239</v>
      </c>
      <c r="F472" t="inlineStr">
        <is>
          <t>VÄSTRA GÖTALANDS LÄN</t>
        </is>
      </c>
      <c r="G472" t="inlineStr">
        <is>
          <t>SVENLJUNGA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46239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37109-2022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46239</v>
      </c>
      <c r="F474" t="inlineStr">
        <is>
          <t>VÄSTRA GÖTALANDS LÄN</t>
        </is>
      </c>
      <c r="G474" t="inlineStr">
        <is>
          <t>SVENLJUNGA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45509</v>
      </c>
      <c r="E475" s="1" t="n">
        <v>46239</v>
      </c>
      <c r="F475" t="inlineStr">
        <is>
          <t>VÄSTRA GÖTALANDS LÄN</t>
        </is>
      </c>
      <c r="G475" t="inlineStr">
        <is>
          <t>SVENLJUNGA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37939-2023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45160</v>
      </c>
      <c r="E476" s="1" t="n">
        <v>46239</v>
      </c>
      <c r="F476" t="inlineStr">
        <is>
          <t>VÄSTRA GÖTALANDS LÄN</t>
        </is>
      </c>
      <c r="G476" t="inlineStr">
        <is>
          <t>SVENLJUNGA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46239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46239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45420</v>
      </c>
      <c r="E479" s="1" t="n">
        <v>46239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46239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46239</v>
      </c>
      <c r="F481" t="inlineStr">
        <is>
          <t>VÄSTRA GÖTALANDS LÄN</t>
        </is>
      </c>
      <c r="G481" t="inlineStr">
        <is>
          <t>SVENLJUNGA</t>
        </is>
      </c>
      <c r="I481" t="n">
        <v>12.2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46239</v>
      </c>
      <c r="F482" t="inlineStr">
        <is>
          <t>VÄSTRA GÖTALANDS LÄN</t>
        </is>
      </c>
      <c r="G482" t="inlineStr">
        <is>
          <t>SVENLJUNGA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46239</v>
      </c>
      <c r="F483" t="inlineStr">
        <is>
          <t>VÄSTRA GÖTALANDS LÄN</t>
        </is>
      </c>
      <c r="G483" t="inlineStr">
        <is>
          <t>SVENLJUNGA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46239</v>
      </c>
      <c r="F484" t="inlineStr">
        <is>
          <t>VÄSTRA GÖTALANDS LÄN</t>
        </is>
      </c>
      <c r="G484" t="inlineStr">
        <is>
          <t>SVENLJUNGA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9205-2022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44615</v>
      </c>
      <c r="E485" s="1" t="n">
        <v>46239</v>
      </c>
      <c r="F485" t="inlineStr">
        <is>
          <t>VÄSTRA GÖTALANDS LÄN</t>
        </is>
      </c>
      <c r="G485" t="inlineStr">
        <is>
          <t>SVENLJUNGA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45747</v>
      </c>
      <c r="E486" s="1" t="n">
        <v>46239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46239</v>
      </c>
      <c r="F487" t="inlineStr">
        <is>
          <t>VÄSTRA GÖTALANDS LÄN</t>
        </is>
      </c>
      <c r="G487" t="inlineStr">
        <is>
          <t>SVENLJUNGA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46239</v>
      </c>
      <c r="F488" t="inlineStr">
        <is>
          <t>VÄSTRA GÖTALANDS LÄN</t>
        </is>
      </c>
      <c r="G488" t="inlineStr">
        <is>
          <t>SVENLJUNGA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55820-2025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45972</v>
      </c>
      <c r="E489" s="1" t="n">
        <v>46239</v>
      </c>
      <c r="F489" t="inlineStr">
        <is>
          <t>VÄSTRA GÖTALANDS LÄN</t>
        </is>
      </c>
      <c r="G489" t="inlineStr">
        <is>
          <t>SVENLJUNGA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39689-2023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45167</v>
      </c>
      <c r="E490" s="1" t="n">
        <v>46239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26146-2023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46239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45636</v>
      </c>
      <c r="E492" s="1" t="n">
        <v>46239</v>
      </c>
      <c r="F492" t="inlineStr">
        <is>
          <t>VÄSTRA GÖTALANDS LÄN</t>
        </is>
      </c>
      <c r="G492" t="inlineStr">
        <is>
          <t>SVENLJUNGA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46239</v>
      </c>
      <c r="F493" t="inlineStr">
        <is>
          <t>VÄSTRA GÖTALANDS LÄN</t>
        </is>
      </c>
      <c r="G493" t="inlineStr">
        <is>
          <t>SVENLJUNGA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45867</v>
      </c>
      <c r="E494" s="1" t="n">
        <v>46239</v>
      </c>
      <c r="F494" t="inlineStr">
        <is>
          <t>VÄSTRA GÖTALANDS LÄN</t>
        </is>
      </c>
      <c r="G494" t="inlineStr">
        <is>
          <t>SVENLJUNGA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52616-2024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45609</v>
      </c>
      <c r="E495" s="1" t="n">
        <v>46239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45855</v>
      </c>
      <c r="E496" s="1" t="n">
        <v>46239</v>
      </c>
      <c r="F496" t="inlineStr">
        <is>
          <t>VÄSTRA GÖTALANDS LÄN</t>
        </is>
      </c>
      <c r="G496" t="inlineStr">
        <is>
          <t>SVENLJUNGA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46239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45751</v>
      </c>
      <c r="E498" s="1" t="n">
        <v>46239</v>
      </c>
      <c r="F498" t="inlineStr">
        <is>
          <t>VÄSTRA GÖTALANDS LÄN</t>
        </is>
      </c>
      <c r="G498" t="inlineStr">
        <is>
          <t>SVENLJUNGA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20556-2025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46239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53770-2024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45615</v>
      </c>
      <c r="E500" s="1" t="n">
        <v>46239</v>
      </c>
      <c r="F500" t="inlineStr">
        <is>
          <t>VÄSTRA GÖTALANDS LÄN</t>
        </is>
      </c>
      <c r="G500" t="inlineStr">
        <is>
          <t>SVENLJUNGA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45362</v>
      </c>
      <c r="E501" s="1" t="n">
        <v>46239</v>
      </c>
      <c r="F501" t="inlineStr">
        <is>
          <t>VÄSTRA GÖTALANDS LÄN</t>
        </is>
      </c>
      <c r="G501" t="inlineStr">
        <is>
          <t>SVENLJUNGA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46239</v>
      </c>
      <c r="F502" t="inlineStr">
        <is>
          <t>VÄSTRA GÖTALANDS LÄN</t>
        </is>
      </c>
      <c r="G502" t="inlineStr">
        <is>
          <t>SVENLJUNGA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16128-2024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45407</v>
      </c>
      <c r="E503" s="1" t="n">
        <v>46239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45790</v>
      </c>
      <c r="E504" s="1" t="n">
        <v>46239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46239</v>
      </c>
      <c r="F505" t="inlineStr">
        <is>
          <t>VÄSTRA GÖTALANDS LÄN</t>
        </is>
      </c>
      <c r="G505" t="inlineStr">
        <is>
          <t>SVENLJUNGA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45789</v>
      </c>
      <c r="E506" s="1" t="n">
        <v>46239</v>
      </c>
      <c r="F506" t="inlineStr">
        <is>
          <t>VÄSTRA GÖTALANDS LÄN</t>
        </is>
      </c>
      <c r="G506" t="inlineStr">
        <is>
          <t>SVENLJUNGA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30646-2025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46239</v>
      </c>
      <c r="F507" t="inlineStr">
        <is>
          <t>VÄSTRA GÖTALANDS LÄN</t>
        </is>
      </c>
      <c r="G507" t="inlineStr">
        <is>
          <t>SVENLJUNGA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24297-2025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45797</v>
      </c>
      <c r="E508" s="1" t="n">
        <v>46239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45698</v>
      </c>
      <c r="E509" s="1" t="n">
        <v>46239</v>
      </c>
      <c r="F509" t="inlineStr">
        <is>
          <t>VÄSTRA GÖTALANDS LÄN</t>
        </is>
      </c>
      <c r="G509" t="inlineStr">
        <is>
          <t>SVENLJUNGA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45376</v>
      </c>
      <c r="E510" s="1" t="n">
        <v>46239</v>
      </c>
      <c r="F510" t="inlineStr">
        <is>
          <t>VÄSTRA GÖTALANDS LÄN</t>
        </is>
      </c>
      <c r="G510" t="inlineStr">
        <is>
          <t>SVENLJUNGA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46239</v>
      </c>
      <c r="F511" t="inlineStr">
        <is>
          <t>VÄSTRA GÖTALANDS LÄN</t>
        </is>
      </c>
      <c r="G511" t="inlineStr">
        <is>
          <t>SVENLJUNGA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46142</v>
      </c>
      <c r="E512" s="1" t="n">
        <v>46239</v>
      </c>
      <c r="F512" t="inlineStr">
        <is>
          <t>VÄSTRA GÖTALANDS LÄN</t>
        </is>
      </c>
      <c r="G512" t="inlineStr">
        <is>
          <t>SVENLJUNGA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46239</v>
      </c>
      <c r="F513" t="inlineStr">
        <is>
          <t>VÄSTRA GÖTALANDS LÄN</t>
        </is>
      </c>
      <c r="G513" t="inlineStr">
        <is>
          <t>SVENLJUNGA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46239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58308-2023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45250</v>
      </c>
      <c r="E515" s="1" t="n">
        <v>46239</v>
      </c>
      <c r="F515" t="inlineStr">
        <is>
          <t>VÄSTRA GÖTALANDS LÄN</t>
        </is>
      </c>
      <c r="G515" t="inlineStr">
        <is>
          <t>SVENLJUNGA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46239</v>
      </c>
      <c r="F516" t="inlineStr">
        <is>
          <t>VÄSTRA GÖTALANDS LÄN</t>
        </is>
      </c>
      <c r="G516" t="inlineStr">
        <is>
          <t>SVENLJUNGA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46239</v>
      </c>
      <c r="F517" t="inlineStr">
        <is>
          <t>VÄSTRA GÖTALANDS LÄN</t>
        </is>
      </c>
      <c r="G517" t="inlineStr">
        <is>
          <t>SVENLJUNGA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45400</v>
      </c>
      <c r="E518" s="1" t="n">
        <v>46239</v>
      </c>
      <c r="F518" t="inlineStr">
        <is>
          <t>VÄSTRA GÖTALANDS LÄN</t>
        </is>
      </c>
      <c r="G518" t="inlineStr">
        <is>
          <t>SVENLJUNGA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45300</v>
      </c>
      <c r="E519" s="1" t="n">
        <v>46239</v>
      </c>
      <c r="F519" t="inlineStr">
        <is>
          <t>VÄSTRA GÖTALANDS LÄN</t>
        </is>
      </c>
      <c r="G519" t="inlineStr">
        <is>
          <t>SVENLJUNGA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39643-2023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45167</v>
      </c>
      <c r="E520" s="1" t="n">
        <v>46239</v>
      </c>
      <c r="F520" t="inlineStr">
        <is>
          <t>VÄSTRA GÖTALANDS LÄN</t>
        </is>
      </c>
      <c r="G520" t="inlineStr">
        <is>
          <t>SVENLJUNGA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46239</v>
      </c>
      <c r="F521" t="inlineStr">
        <is>
          <t>VÄSTRA GÖTALANDS LÄN</t>
        </is>
      </c>
      <c r="G521" t="inlineStr">
        <is>
          <t>SVENLJUNGA</t>
        </is>
      </c>
      <c r="I521" t="n">
        <v>17.5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46239</v>
      </c>
      <c r="F522" t="inlineStr">
        <is>
          <t>VÄSTRA GÖTALANDS LÄN</t>
        </is>
      </c>
      <c r="G522" t="inlineStr">
        <is>
          <t>SVENLJUNGA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44797</v>
      </c>
      <c r="E523" s="1" t="n">
        <v>46239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44979</v>
      </c>
      <c r="E524" s="1" t="n">
        <v>46239</v>
      </c>
      <c r="F524" t="inlineStr">
        <is>
          <t>VÄSTRA GÖTALANDS LÄN</t>
        </is>
      </c>
      <c r="G524" t="inlineStr">
        <is>
          <t>SVENLJUNGA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46239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46239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46239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46239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46239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46239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2892-2022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46239</v>
      </c>
      <c r="F531" t="inlineStr">
        <is>
          <t>VÄSTRA GÖTALANDS LÄN</t>
        </is>
      </c>
      <c r="G531" t="inlineStr">
        <is>
          <t>SVENLJUNGA</t>
        </is>
      </c>
      <c r="I531" t="n">
        <v>66.59999999999999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2793-2022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44706</v>
      </c>
      <c r="E532" s="1" t="n">
        <v>46239</v>
      </c>
      <c r="F532" t="inlineStr">
        <is>
          <t>VÄSTRA GÖTALANDS LÄN</t>
        </is>
      </c>
      <c r="G532" t="inlineStr">
        <is>
          <t>SVENLJUNGA</t>
        </is>
      </c>
      <c r="I532" t="n">
        <v>22.9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44712</v>
      </c>
      <c r="E533" s="1" t="n">
        <v>46239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2882-2022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46239</v>
      </c>
      <c r="F534" t="inlineStr">
        <is>
          <t>VÄSTRA GÖTALANDS LÄN</t>
        </is>
      </c>
      <c r="G534" t="inlineStr">
        <is>
          <t>SVENLJUNGA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46239</v>
      </c>
      <c r="F535" t="inlineStr">
        <is>
          <t>VÄSTRA GÖTALANDS LÄN</t>
        </is>
      </c>
      <c r="G535" t="inlineStr">
        <is>
          <t>SVENLJUNGA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46239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10475-2021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46239</v>
      </c>
      <c r="F537" t="inlineStr">
        <is>
          <t>VÄSTRA GÖTALANDS LÄN</t>
        </is>
      </c>
      <c r="G537" t="inlineStr">
        <is>
          <t>SVENLJUNGA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2898-2022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46239</v>
      </c>
      <c r="F538" t="inlineStr">
        <is>
          <t>VÄSTRA GÖTALANDS LÄN</t>
        </is>
      </c>
      <c r="G538" t="inlineStr">
        <is>
          <t>SVENLJUNGA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2035-2022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44671</v>
      </c>
      <c r="E539" s="1" t="n">
        <v>46239</v>
      </c>
      <c r="F539" t="inlineStr">
        <is>
          <t>VÄSTRA GÖTALANDS LÄN</t>
        </is>
      </c>
      <c r="G539" t="inlineStr">
        <is>
          <t>SVENLJUNGA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7455-2021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44474</v>
      </c>
      <c r="E540" s="1" t="n">
        <v>46239</v>
      </c>
      <c r="F540" t="inlineStr">
        <is>
          <t>VÄSTRA GÖTALANDS LÄN</t>
        </is>
      </c>
      <c r="G540" t="inlineStr">
        <is>
          <t>SVENLJUNGA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46239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46239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46239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46239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46239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46239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46239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46239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46239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46239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46239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46239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46239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46239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46239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46239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46239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46239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46239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46239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46239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46239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46239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46239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46239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46239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46239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46239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46239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46239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46239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46239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46239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46239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46239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46239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46239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46239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46239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46239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46239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46239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46239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46239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46239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46239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46239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46239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2026-08-05T20:40:15Z</dcterms:created>
  <dcterms:modified xmlns:dcterms="http://purl.org/dc/terms/" xmlns:xsi="http://www.w3.org/2001/XMLSchema-instance" xsi:type="dcterms:W3CDTF">2026-08-05T20:40:15Z</dcterms:modified>
</cp:coreProperties>
</file>