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2457-2022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44579</v>
      </c>
      <c r="E2" s="1" t="n">
        <v>46312</v>
      </c>
      <c r="F2" t="inlineStr">
        <is>
          <t>VÄSTRA GÖTALANDS LÄN</t>
        </is>
      </c>
      <c r="G2" t="inlineStr">
        <is>
          <t>SVENLJUNGA</t>
        </is>
      </c>
      <c r="H2" t="inlineStr">
        <is>
          <t>Kyrkan</t>
        </is>
      </c>
      <c r="I2" t="n">
        <v>3.6</v>
      </c>
      <c r="J2" t="n">
        <v>2</v>
      </c>
      <c r="K2" t="n">
        <v>4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6</v>
      </c>
      <c r="T2" t="n">
        <v>8</v>
      </c>
      <c r="U2" t="n">
        <v>2</v>
      </c>
      <c r="V2" s="2" t="inlineStr">
        <is>
          <t>Mindre hackspett
Brandticka
Klippfrullania
Smal svampklubba
Västlig hakmossa
Spillkråka</t>
        </is>
      </c>
      <c r="W2">
        <f>HYPERLINK("https://klasma.github.io/Logging_1465/artfynd/A 2457-2022 artfynd.xlsx", "A 2457-2022")</f>
        <v/>
      </c>
      <c r="X2">
        <f>HYPERLINK("https://klasma.github.io/Logging_1465/kartor/A 2457-2022 karta.png", "A 2457-2022")</f>
        <v/>
      </c>
      <c r="Y2">
        <f>HYPERLINK("https://klasma.github.io/Logging_1465/kartor_geotiff/A 2457-2022 georefererad karta.tif", "A 2457-2022")</f>
        <v/>
      </c>
      <c r="AA2">
        <f>HYPERLINK("https://klasma.github.io/Logging_1465/klagomål/A 2457-2022 FSC-klagomål.docx", "A 2457-2022")</f>
        <v/>
      </c>
      <c r="AB2">
        <f>HYPERLINK("https://klasma.github.io/Logging_1465/klagomålsmail/A 2457-2022 FSC-klagomål mail.docx", "A 2457-2022")</f>
        <v/>
      </c>
      <c r="AC2">
        <f>HYPERLINK("https://klasma.github.io/Logging_1465/tillsyn/A 2457-2022 tillsynsbegäran.docx", "A 2457-2022")</f>
        <v/>
      </c>
      <c r="AD2">
        <f>HYPERLINK("https://klasma.github.io/Logging_1465/tillsynsmail/A 2457-2022 tillsynsbegäran mail.docx", "A 2457-2022")</f>
        <v/>
      </c>
      <c r="AE2">
        <f>HYPERLINK("https://klasma.github.io/Logging_1465/fåglar/A 2457-2022 prioriterade fågelarter.docx", "A 2457-2022")</f>
        <v/>
      </c>
    </row>
    <row r="3" ht="15" customHeight="1">
      <c r="A3" t="inlineStr">
        <is>
          <t>A 13005-2025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45734</v>
      </c>
      <c r="E3" s="1" t="n">
        <v>46312</v>
      </c>
      <c r="F3" t="inlineStr">
        <is>
          <t>VÄSTRA GÖTALANDS LÄN</t>
        </is>
      </c>
      <c r="G3" t="inlineStr">
        <is>
          <t>SVENLJUNGA</t>
        </is>
      </c>
      <c r="I3" t="n">
        <v>9</v>
      </c>
      <c r="J3" t="n">
        <v>1</v>
      </c>
      <c r="K3" t="n">
        <v>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</v>
      </c>
      <c r="T3" t="n">
        <v>5</v>
      </c>
      <c r="U3" t="n">
        <v>0</v>
      </c>
      <c r="V3" s="2" t="inlineStr">
        <is>
          <t>Bronshjon
Kornknutmossa
Thomsons trägnagare
Vågbandad barkbock
Kungsfågel</t>
        </is>
      </c>
      <c r="W3">
        <f>HYPERLINK("https://klasma.github.io/Logging_1465/artfynd/A 13005-2025 artfynd.xlsx", "A 13005-2025")</f>
        <v/>
      </c>
      <c r="X3">
        <f>HYPERLINK("https://klasma.github.io/Logging_1465/kartor/A 13005-2025 karta.png", "A 13005-2025")</f>
        <v/>
      </c>
      <c r="Y3">
        <f>HYPERLINK("https://klasma.github.io/Logging_1465/kartor_geotiff/A 13005-2025 georefererad karta.tif", "A 13005-2025")</f>
        <v/>
      </c>
      <c r="AA3">
        <f>HYPERLINK("https://klasma.github.io/Logging_1465/klagomål/A 13005-2025 FSC-klagomål.docx", "A 13005-2025")</f>
        <v/>
      </c>
      <c r="AB3">
        <f>HYPERLINK("https://klasma.github.io/Logging_1465/klagomålsmail/A 13005-2025 FSC-klagomål mail.docx", "A 13005-2025")</f>
        <v/>
      </c>
      <c r="AC3">
        <f>HYPERLINK("https://klasma.github.io/Logging_1465/tillsyn/A 13005-2025 tillsynsbegäran.docx", "A 13005-2025")</f>
        <v/>
      </c>
      <c r="AD3">
        <f>HYPERLINK("https://klasma.github.io/Logging_1465/tillsynsmail/A 13005-2025 tillsynsbegäran mail.docx", "A 13005-2025")</f>
        <v/>
      </c>
    </row>
    <row r="4" ht="15" customHeight="1">
      <c r="A4" t="inlineStr">
        <is>
          <t>S 4751-2022</t>
        </is>
      </c>
      <c r="B4" t="inlineStr">
        <is>
          <t>samrådsanmälan</t>
        </is>
      </c>
      <c r="C4" t="inlineStr">
        <is>
          <t>Annan skogsbruksåtgärd</t>
        </is>
      </c>
      <c r="D4" s="1" t="n">
        <v>44800</v>
      </c>
      <c r="E4" s="1" t="n">
        <v>46312</v>
      </c>
      <c r="F4" t="inlineStr">
        <is>
          <t>VÄSTRA GÖTALANDS LÄN</t>
        </is>
      </c>
      <c r="G4" t="inlineStr">
        <is>
          <t>SVENLJUNGA</t>
        </is>
      </c>
      <c r="I4" t="n">
        <v>0.1</v>
      </c>
      <c r="J4" t="n">
        <v>0</v>
      </c>
      <c r="K4" t="n">
        <v>2</v>
      </c>
      <c r="L4" t="n">
        <v>2</v>
      </c>
      <c r="M4" t="n">
        <v>0</v>
      </c>
      <c r="N4" t="n">
        <v>1</v>
      </c>
      <c r="O4" t="n">
        <v>0</v>
      </c>
      <c r="P4" t="n">
        <v>0</v>
      </c>
      <c r="Q4" t="n">
        <v>3</v>
      </c>
      <c r="R4" t="n">
        <v>1</v>
      </c>
      <c r="S4" t="n">
        <v>5</v>
      </c>
      <c r="T4" t="n">
        <v>31</v>
      </c>
      <c r="U4" t="n">
        <v>0</v>
      </c>
      <c r="V4" s="2" t="inlineStr">
        <is>
          <t>Ask
Grynig filtlav
Lunglav
Fällmossa
Guldlockmossa</t>
        </is>
      </c>
      <c r="W4">
        <f>HYPERLINK("https://klasma.github.io/Logging_1465/artfynd/S 4751-2022 artfynd.xlsx", "S 4751-2022")</f>
        <v/>
      </c>
      <c r="X4">
        <f>HYPERLINK("https://klasma.github.io/Logging_1465/kartor/S 4751-2022 karta.png", "S 4751-2022")</f>
        <v/>
      </c>
      <c r="Y4">
        <f>HYPERLINK("https://klasma.github.io/Logging_1465/kartor_geotiff/S 4751-2022 georefererad karta.tif", "S 4751-2022")</f>
        <v/>
      </c>
      <c r="AA4">
        <f>HYPERLINK("https://klasma.github.io/Logging_1465/klagomål/S 4751-2022 FSC-klagomål.docx", "S 4751-2022")</f>
        <v/>
      </c>
      <c r="AB4">
        <f>HYPERLINK("https://klasma.github.io/Logging_1465/klagomålsmail/S 4751-2022 FSC-klagomål mail.docx", "S 4751-2022")</f>
        <v/>
      </c>
      <c r="AC4">
        <f>HYPERLINK("https://klasma.github.io/Logging_1465/tillsyn/S 4751-2022 tillsynsbegäran.docx", "S 4751-2022")</f>
        <v/>
      </c>
      <c r="AD4">
        <f>HYPERLINK("https://klasma.github.io/Logging_1465/tillsynsmail/S 4751-2022 tillsynsbegäran mail.docx", "S 4751-2022")</f>
        <v/>
      </c>
    </row>
    <row r="5" ht="15" customHeight="1">
      <c r="A5" t="inlineStr">
        <is>
          <t>S 2884-2022</t>
        </is>
      </c>
      <c r="B5" t="inlineStr">
        <is>
          <t>samrådsanmälan</t>
        </is>
      </c>
      <c r="C5" t="inlineStr">
        <is>
          <t>Askåterföring</t>
        </is>
      </c>
      <c r="D5" s="1" t="n">
        <v>44711</v>
      </c>
      <c r="E5" s="1" t="n">
        <v>46312</v>
      </c>
      <c r="F5" t="inlineStr">
        <is>
          <t>VÄSTRA GÖTALANDS LÄN</t>
        </is>
      </c>
      <c r="G5" t="inlineStr">
        <is>
          <t>SVENLJUNGA</t>
        </is>
      </c>
      <c r="I5" t="n">
        <v>26.7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3</v>
      </c>
      <c r="U5" t="n">
        <v>3</v>
      </c>
      <c r="V5" s="2" t="inlineStr">
        <is>
          <t>Mattlummer
Lopplummer (aggregat)
Revlummer</t>
        </is>
      </c>
      <c r="W5">
        <f>HYPERLINK("https://klasma.github.io/Logging_1465/artfynd/S 2884-2022 artfynd.xlsx", "S 2884-2022")</f>
        <v/>
      </c>
      <c r="X5">
        <f>HYPERLINK("https://klasma.github.io/Logging_1465/kartor/S 2884-2022 karta.png", "S 2884-2022")</f>
        <v/>
      </c>
      <c r="Y5">
        <f>HYPERLINK("https://klasma.github.io/Logging_1465/kartor_geotiff/S 2884-2022 georefererad karta.tif", "S 2884-2022")</f>
        <v/>
      </c>
      <c r="AA5">
        <f>HYPERLINK("https://klasma.github.io/Logging_1465/klagomål/S 2884-2022 FSC-klagomål.docx", "S 2884-2022")</f>
        <v/>
      </c>
      <c r="AB5">
        <f>HYPERLINK("https://klasma.github.io/Logging_1465/klagomålsmail/S 2884-2022 FSC-klagomål mail.docx", "S 2884-2022")</f>
        <v/>
      </c>
      <c r="AC5">
        <f>HYPERLINK("https://klasma.github.io/Logging_1465/tillsyn/S 2884-2022 tillsynsbegäran.docx", "S 2884-2022")</f>
        <v/>
      </c>
      <c r="AD5">
        <f>HYPERLINK("https://klasma.github.io/Logging_1465/tillsynsmail/S 2884-2022 tillsynsbegäran mail.docx", "S 2884-2022")</f>
        <v/>
      </c>
    </row>
    <row r="6" ht="15" customHeight="1">
      <c r="A6" t="inlineStr">
        <is>
          <t>A 11202-2025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45726</v>
      </c>
      <c r="E6" s="1" t="n">
        <v>46312</v>
      </c>
      <c r="F6" t="inlineStr">
        <is>
          <t>VÄSTRA GÖTALANDS LÄN</t>
        </is>
      </c>
      <c r="G6" t="inlineStr">
        <is>
          <t>SVENLJUNGA</t>
        </is>
      </c>
      <c r="I6" t="n">
        <v>13.4</v>
      </c>
      <c r="J6" t="n">
        <v>2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2</v>
      </c>
      <c r="T6" t="n">
        <v>2</v>
      </c>
      <c r="U6" t="n">
        <v>2</v>
      </c>
      <c r="V6" s="2" t="inlineStr">
        <is>
          <t>Talltita
Kungsfågel</t>
        </is>
      </c>
      <c r="W6">
        <f>HYPERLINK("https://klasma.github.io/Logging_1465/artfynd/A 11202-2025 artfynd.xlsx", "A 11202-2025")</f>
        <v/>
      </c>
      <c r="X6">
        <f>HYPERLINK("https://klasma.github.io/Logging_1465/kartor/A 11202-2025 karta.png", "A 11202-2025")</f>
        <v/>
      </c>
      <c r="Y6">
        <f>HYPERLINK("https://klasma.github.io/Logging_1465/kartor_geotiff/A 11202-2025 georefererad karta.tif", "A 11202-2025")</f>
        <v/>
      </c>
      <c r="AA6">
        <f>HYPERLINK("https://klasma.github.io/Logging_1465/klagomål/A 11202-2025 FSC-klagomål.docx", "A 11202-2025")</f>
        <v/>
      </c>
      <c r="AB6">
        <f>HYPERLINK("https://klasma.github.io/Logging_1465/klagomålsmail/A 11202-2025 FSC-klagomål mail.docx", "A 11202-2025")</f>
        <v/>
      </c>
      <c r="AC6">
        <f>HYPERLINK("https://klasma.github.io/Logging_1465/tillsyn/A 11202-2025 tillsynsbegäran.docx", "A 11202-2025")</f>
        <v/>
      </c>
      <c r="AD6">
        <f>HYPERLINK("https://klasma.github.io/Logging_1465/tillsynsmail/A 11202-2025 tillsynsbegäran mail.docx", "A 11202-2025")</f>
        <v/>
      </c>
      <c r="AE6">
        <f>HYPERLINK("https://klasma.github.io/Logging_1465/fåglar/A 11202-2025 prioriterade fågelarter.docx", "A 11202-2025")</f>
        <v/>
      </c>
    </row>
    <row r="7" ht="15" customHeight="1">
      <c r="A7" t="inlineStr">
        <is>
          <t>A 40847-2026</t>
        </is>
      </c>
      <c r="B7" t="inlineStr">
        <is>
          <t>avverkningsanmälan</t>
        </is>
      </c>
      <c r="C7" t="inlineStr">
        <is>
          <t>Avverkning för att bevara och utveckla /försöksver</t>
        </is>
      </c>
      <c r="D7" s="1" t="n">
        <v>46296</v>
      </c>
      <c r="E7" s="1" t="n">
        <v>46312</v>
      </c>
      <c r="F7" t="inlineStr">
        <is>
          <t>VÄSTRA GÖTALANDS LÄN</t>
        </is>
      </c>
      <c r="G7" t="inlineStr">
        <is>
          <t>SVENLJUNGA</t>
        </is>
      </c>
      <c r="H7" t="inlineStr">
        <is>
          <t>Sveaskog</t>
        </is>
      </c>
      <c r="I7" t="n">
        <v>1.9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2</v>
      </c>
      <c r="T7" t="n">
        <v>2</v>
      </c>
      <c r="U7" t="n">
        <v>0</v>
      </c>
      <c r="V7" s="2" t="inlineStr">
        <is>
          <t>Lunglav
Fällmossa</t>
        </is>
      </c>
      <c r="W7">
        <f>HYPERLINK("https://klasma.github.io/Logging_1465/artfynd/A 40847-2026 artfynd.xlsx", "A 40847-2026")</f>
        <v/>
      </c>
      <c r="X7">
        <f>HYPERLINK("https://klasma.github.io/Logging_1465/kartor/A 40847-2026 karta.png", "A 40847-2026")</f>
        <v/>
      </c>
      <c r="Y7">
        <f>HYPERLINK("https://klasma.github.io/Logging_1465/kartor_geotiff/A 40847-2026 georefererad karta.tif", "A 40847-2026")</f>
        <v/>
      </c>
      <c r="AA7">
        <f>HYPERLINK("https://klasma.github.io/Logging_1465/klagomål/A 40847-2026 FSC-klagomål.docx", "A 40847-2026")</f>
        <v/>
      </c>
      <c r="AB7">
        <f>HYPERLINK("https://klasma.github.io/Logging_1465/klagomålsmail/A 40847-2026 FSC-klagomål mail.docx", "A 40847-2026")</f>
        <v/>
      </c>
      <c r="AC7">
        <f>HYPERLINK("https://klasma.github.io/Logging_1465/tillsyn/A 40847-2026 tillsynsbegäran.docx", "A 40847-2026")</f>
        <v/>
      </c>
      <c r="AD7">
        <f>HYPERLINK("https://klasma.github.io/Logging_1465/tillsynsmail/A 40847-2026 tillsynsbegäran mail.docx", "A 40847-2026")</f>
        <v/>
      </c>
    </row>
    <row r="8" ht="15" customHeight="1">
      <c r="A8" t="inlineStr">
        <is>
          <t>A 30792-2025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45831</v>
      </c>
      <c r="E8" s="1" t="n">
        <v>46312</v>
      </c>
      <c r="F8" t="inlineStr">
        <is>
          <t>VÄSTRA GÖTALANDS LÄN</t>
        </is>
      </c>
      <c r="G8" t="inlineStr">
        <is>
          <t>SVENLJUNGA</t>
        </is>
      </c>
      <c r="I8" t="n">
        <v>6.8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2</v>
      </c>
      <c r="U8" t="n">
        <v>2</v>
      </c>
      <c r="V8" s="2" t="inlineStr">
        <is>
          <t>Mattlummer
Revlummer</t>
        </is>
      </c>
      <c r="W8">
        <f>HYPERLINK("https://klasma.github.io/Logging_1465/artfynd/A 30792-2025 artfynd.xlsx", "A 30792-2025")</f>
        <v/>
      </c>
      <c r="X8">
        <f>HYPERLINK("https://klasma.github.io/Logging_1465/kartor/A 30792-2025 karta.png", "A 30792-2025")</f>
        <v/>
      </c>
      <c r="Y8">
        <f>HYPERLINK("https://klasma.github.io/Logging_1465/kartor_geotiff/A 30792-2025 georefererad karta.tif", "A 30792-2025")</f>
        <v/>
      </c>
      <c r="AA8">
        <f>HYPERLINK("https://klasma.github.io/Logging_1465/klagomål/A 30792-2025 FSC-klagomål.docx", "A 30792-2025")</f>
        <v/>
      </c>
      <c r="AB8">
        <f>HYPERLINK("https://klasma.github.io/Logging_1465/klagomålsmail/A 30792-2025 FSC-klagomål mail.docx", "A 30792-2025")</f>
        <v/>
      </c>
      <c r="AC8">
        <f>HYPERLINK("https://klasma.github.io/Logging_1465/tillsyn/A 30792-2025 tillsynsbegäran.docx", "A 30792-2025")</f>
        <v/>
      </c>
      <c r="AD8">
        <f>HYPERLINK("https://klasma.github.io/Logging_1465/tillsynsmail/A 30792-2025 tillsynsbegäran mail.docx", "A 30792-2025")</f>
        <v/>
      </c>
    </row>
    <row r="9" ht="15" customHeight="1">
      <c r="A9" t="inlineStr">
        <is>
          <t>S 512-2024</t>
        </is>
      </c>
      <c r="B9" t="inlineStr">
        <is>
          <t>samrådsanmälan</t>
        </is>
      </c>
      <c r="C9" t="inlineStr">
        <is>
          <t>Askåterföring</t>
        </is>
      </c>
      <c r="D9" s="1" t="n">
        <v>45345</v>
      </c>
      <c r="E9" s="1" t="n">
        <v>46312</v>
      </c>
      <c r="F9" t="inlineStr">
        <is>
          <t>VÄSTRA GÖTALANDS LÄN</t>
        </is>
      </c>
      <c r="G9" t="inlineStr">
        <is>
          <t>SVENLJUNGA</t>
        </is>
      </c>
      <c r="I9" t="n">
        <v>42.2</v>
      </c>
      <c r="J9" t="n">
        <v>2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2</v>
      </c>
      <c r="T9" t="n">
        <v>2</v>
      </c>
      <c r="U9" t="n">
        <v>0</v>
      </c>
      <c r="V9" s="2" t="inlineStr">
        <is>
          <t>Nordfladdermus
Dvärgpipistrell</t>
        </is>
      </c>
      <c r="W9">
        <f>HYPERLINK("https://klasma.github.io/Logging_1465/artfynd/S 512-2024 artfynd.xlsx", "S 512-2024")</f>
        <v/>
      </c>
      <c r="X9">
        <f>HYPERLINK("https://klasma.github.io/Logging_1465/kartor/S 512-2024 karta.png", "S 512-2024")</f>
        <v/>
      </c>
      <c r="Y9">
        <f>HYPERLINK("https://klasma.github.io/Logging_1465/kartor_geotiff/S 512-2024 georefererad karta.tif", "S 512-2024")</f>
        <v/>
      </c>
      <c r="AA9">
        <f>HYPERLINK("https://klasma.github.io/Logging_1465/klagomål/S 512-2024 FSC-klagomål.docx", "S 512-2024")</f>
        <v/>
      </c>
      <c r="AB9">
        <f>HYPERLINK("https://klasma.github.io/Logging_1465/klagomålsmail/S 512-2024 FSC-klagomål mail.docx", "S 512-2024")</f>
        <v/>
      </c>
      <c r="AC9">
        <f>HYPERLINK("https://klasma.github.io/Logging_1465/tillsyn/S 512-2024 tillsynsbegäran.docx", "S 512-2024")</f>
        <v/>
      </c>
      <c r="AD9">
        <f>HYPERLINK("https://klasma.github.io/Logging_1465/tillsynsmail/S 512-2024 tillsynsbegäran mail.docx", "S 512-2024")</f>
        <v/>
      </c>
    </row>
    <row r="10" ht="15" customHeight="1">
      <c r="A10" t="inlineStr">
        <is>
          <t>S 3566-2025</t>
        </is>
      </c>
      <c r="B10" t="inlineStr">
        <is>
          <t>samrådsanmälan</t>
        </is>
      </c>
      <c r="C10" t="inlineStr">
        <is>
          <t>Askåterföring</t>
        </is>
      </c>
      <c r="D10" s="1" t="n">
        <v>46013</v>
      </c>
      <c r="E10" s="1" t="n">
        <v>46312</v>
      </c>
      <c r="F10" t="inlineStr">
        <is>
          <t>VÄSTRA GÖTALANDS LÄN</t>
        </is>
      </c>
      <c r="G10" t="inlineStr">
        <is>
          <t>SVENLJUNGA</t>
        </is>
      </c>
      <c r="I10" t="n">
        <v>77.7</v>
      </c>
      <c r="J10" t="n">
        <v>2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2</v>
      </c>
      <c r="T10" t="n">
        <v>2</v>
      </c>
      <c r="U10" t="n">
        <v>0</v>
      </c>
      <c r="V10" s="2" t="inlineStr">
        <is>
          <t>Talltita
Orre</t>
        </is>
      </c>
      <c r="W10">
        <f>HYPERLINK("https://klasma.github.io/Logging_1465/artfynd/S 3566-2025 artfynd.xlsx", "S 3566-2025")</f>
        <v/>
      </c>
      <c r="X10">
        <f>HYPERLINK("https://klasma.github.io/Logging_1465/kartor/S 3566-2025 karta.png", "S 3566-2025")</f>
        <v/>
      </c>
      <c r="Y10">
        <f>HYPERLINK("https://klasma.github.io/Logging_1465/kartor_geotiff/S 3566-2025 georefererad karta.tif", "S 3566-2025")</f>
        <v/>
      </c>
      <c r="AA10">
        <f>HYPERLINK("https://klasma.github.io/Logging_1465/klagomål/S 3566-2025 FSC-klagomål.docx", "S 3566-2025")</f>
        <v/>
      </c>
      <c r="AB10">
        <f>HYPERLINK("https://klasma.github.io/Logging_1465/klagomålsmail/S 3566-2025 FSC-klagomål mail.docx", "S 3566-2025")</f>
        <v/>
      </c>
      <c r="AC10">
        <f>HYPERLINK("https://klasma.github.io/Logging_1465/tillsyn/S 3566-2025 tillsynsbegäran.docx", "S 3566-2025")</f>
        <v/>
      </c>
      <c r="AD10">
        <f>HYPERLINK("https://klasma.github.io/Logging_1465/tillsynsmail/S 3566-2025 tillsynsbegäran mail.docx", "S 3566-2025")</f>
        <v/>
      </c>
      <c r="AE10">
        <f>HYPERLINK("https://klasma.github.io/Logging_1465/fåglar/S 3566-2025 prioriterade fågelarter.docx", "S 3566-2025")</f>
        <v/>
      </c>
    </row>
    <row r="11" ht="15" customHeight="1">
      <c r="A11" t="inlineStr">
        <is>
          <t>S 2967-2023</t>
        </is>
      </c>
      <c r="B11" t="inlineStr">
        <is>
          <t>samrådsanmälan</t>
        </is>
      </c>
      <c r="C11" t="inlineStr">
        <is>
          <t>Askåterföring</t>
        </is>
      </c>
      <c r="D11" s="1" t="n">
        <v>45173</v>
      </c>
      <c r="E11" s="1" t="n">
        <v>46312</v>
      </c>
      <c r="F11" t="inlineStr">
        <is>
          <t>VÄSTRA GÖTALANDS LÄN</t>
        </is>
      </c>
      <c r="G11" t="inlineStr">
        <is>
          <t>SVENLJUNGA</t>
        </is>
      </c>
      <c r="I11" t="n">
        <v>36.3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2</v>
      </c>
      <c r="U11" t="n">
        <v>1</v>
      </c>
      <c r="V11" s="2" t="inlineStr">
        <is>
          <t>Strutbräken
Revlummer</t>
        </is>
      </c>
      <c r="W11">
        <f>HYPERLINK("https://klasma.github.io/Logging_1465/artfynd/S 2967-2023 artfynd.xlsx", "S 2967-2023")</f>
        <v/>
      </c>
      <c r="X11">
        <f>HYPERLINK("https://klasma.github.io/Logging_1465/kartor/S 2967-2023 karta.png", "S 2967-2023")</f>
        <v/>
      </c>
      <c r="Y11">
        <f>HYPERLINK("https://klasma.github.io/Logging_1465/kartor_geotiff/S 2967-2023 georefererad karta.tif", "S 2967-2023")</f>
        <v/>
      </c>
      <c r="AA11">
        <f>HYPERLINK("https://klasma.github.io/Logging_1465/klagomål/S 2967-2023 FSC-klagomål.docx", "S 2967-2023")</f>
        <v/>
      </c>
      <c r="AB11">
        <f>HYPERLINK("https://klasma.github.io/Logging_1465/klagomålsmail/S 2967-2023 FSC-klagomål mail.docx", "S 2967-2023")</f>
        <v/>
      </c>
      <c r="AC11">
        <f>HYPERLINK("https://klasma.github.io/Logging_1465/tillsyn/S 2967-2023 tillsynsbegäran.docx", "S 2967-2023")</f>
        <v/>
      </c>
      <c r="AD11">
        <f>HYPERLINK("https://klasma.github.io/Logging_1465/tillsynsmail/S 2967-2023 tillsynsbegäran mail.docx", "S 2967-2023")</f>
        <v/>
      </c>
    </row>
    <row r="12" ht="15" customHeight="1">
      <c r="A12" t="inlineStr">
        <is>
          <t>S 2577-2026</t>
        </is>
      </c>
      <c r="B12" t="inlineStr">
        <is>
          <t>samrådsanmälan</t>
        </is>
      </c>
      <c r="C12" t="inlineStr">
        <is>
          <t>Annan skogsbruksåtgärd</t>
        </is>
      </c>
      <c r="D12" s="1" t="n">
        <v>46296</v>
      </c>
      <c r="E12" s="1" t="n">
        <v>46312</v>
      </c>
      <c r="F12" t="inlineStr">
        <is>
          <t>VÄSTRA GÖTALANDS LÄN</t>
        </is>
      </c>
      <c r="G12" t="inlineStr">
        <is>
          <t>SVENLJUNGA</t>
        </is>
      </c>
      <c r="H12" t="inlineStr">
        <is>
          <t>Sveaskog</t>
        </is>
      </c>
      <c r="I12" t="n">
        <v>1.9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2</v>
      </c>
      <c r="T12" t="n">
        <v>2</v>
      </c>
      <c r="U12" t="n">
        <v>0</v>
      </c>
      <c r="V12" s="2" t="inlineStr">
        <is>
          <t>Lunglav
Fällmossa</t>
        </is>
      </c>
      <c r="W12">
        <f>HYPERLINK("https://klasma.github.io/Logging_1465/artfynd/S 2577-2026 artfynd.xlsx", "S 2577-2026")</f>
        <v/>
      </c>
      <c r="X12">
        <f>HYPERLINK("https://klasma.github.io/Logging_1465/kartor/S 2577-2026 karta.png", "S 2577-2026")</f>
        <v/>
      </c>
      <c r="Y12">
        <f>HYPERLINK("https://klasma.github.io/Logging_1465/kartor_geotiff/S 2577-2026 georefererad karta.tif", "S 2577-2026")</f>
        <v/>
      </c>
      <c r="AA12">
        <f>HYPERLINK("https://klasma.github.io/Logging_1465/klagomål/S 2577-2026 FSC-klagomål.docx", "S 2577-2026")</f>
        <v/>
      </c>
      <c r="AB12">
        <f>HYPERLINK("https://klasma.github.io/Logging_1465/klagomålsmail/S 2577-2026 FSC-klagomål mail.docx", "S 2577-2026")</f>
        <v/>
      </c>
      <c r="AC12">
        <f>HYPERLINK("https://klasma.github.io/Logging_1465/tillsyn/S 2577-2026 tillsynsbegäran.docx", "S 2577-2026")</f>
        <v/>
      </c>
      <c r="AD12">
        <f>HYPERLINK("https://klasma.github.io/Logging_1465/tillsynsmail/S 2577-2026 tillsynsbegäran mail.docx", "S 2577-2026")</f>
        <v/>
      </c>
    </row>
    <row r="13" ht="15" customHeight="1">
      <c r="A13" t="inlineStr">
        <is>
          <t>A 60857-2021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44497</v>
      </c>
      <c r="E13" s="1" t="n">
        <v>46312</v>
      </c>
      <c r="F13" t="inlineStr">
        <is>
          <t>VÄSTRA GÖTALANDS LÄN</t>
        </is>
      </c>
      <c r="G13" t="inlineStr">
        <is>
          <t>SVENLJUNGA</t>
        </is>
      </c>
      <c r="I13" t="n">
        <v>3.8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s="2" t="inlineStr">
        <is>
          <t>Flytsäv</t>
        </is>
      </c>
      <c r="W13">
        <f>HYPERLINK("https://klasma.github.io/Logging_1465/artfynd/A 60857-2021 artfynd.xlsx", "A 60857-2021")</f>
        <v/>
      </c>
      <c r="X13">
        <f>HYPERLINK("https://klasma.github.io/Logging_1465/kartor/A 60857-2021 karta.png", "A 60857-2021")</f>
        <v/>
      </c>
      <c r="Y13">
        <f>HYPERLINK("https://klasma.github.io/Logging_1465/kartor_geotiff/A 60857-2021 georefererad karta.tif", "A 60857-2021")</f>
        <v/>
      </c>
      <c r="AA13">
        <f>HYPERLINK("https://klasma.github.io/Logging_1465/klagomål/A 60857-2021 FSC-klagomål.docx", "A 60857-2021")</f>
        <v/>
      </c>
      <c r="AB13">
        <f>HYPERLINK("https://klasma.github.io/Logging_1465/klagomålsmail/A 60857-2021 FSC-klagomål mail.docx", "A 60857-2021")</f>
        <v/>
      </c>
      <c r="AC13">
        <f>HYPERLINK("https://klasma.github.io/Logging_1465/tillsyn/A 60857-2021 tillsynsbegäran.docx", "A 60857-2021")</f>
        <v/>
      </c>
      <c r="AD13">
        <f>HYPERLINK("https://klasma.github.io/Logging_1465/tillsynsmail/A 60857-2021 tillsynsbegäran mail.docx", "A 60857-2021")</f>
        <v/>
      </c>
    </row>
    <row r="14" ht="15" customHeight="1">
      <c r="A14" t="inlineStr">
        <is>
          <t>A 30771-2022</t>
        </is>
      </c>
      <c r="B14" t="inlineStr">
        <is>
          <t>avverkningsanmälan</t>
        </is>
      </c>
      <c r="C14" t="inlineStr">
        <is>
          <t>Avverkning för annat ändamål</t>
        </is>
      </c>
      <c r="D14" s="1" t="n">
        <v>44764</v>
      </c>
      <c r="E14" s="1" t="n">
        <v>46312</v>
      </c>
      <c r="F14" t="inlineStr">
        <is>
          <t>VÄSTRA GÖTALANDS LÄN</t>
        </is>
      </c>
      <c r="G14" t="inlineStr">
        <is>
          <t>SVENLJUNGA</t>
        </is>
      </c>
      <c r="I14" t="n">
        <v>1.8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2</v>
      </c>
      <c r="U14" t="n">
        <v>0</v>
      </c>
      <c r="V14" s="2" t="inlineStr">
        <is>
          <t>Grynig filtlav</t>
        </is>
      </c>
      <c r="W14">
        <f>HYPERLINK("https://klasma.github.io/Logging_1465/artfynd/A 30771-2022 artfynd.xlsx", "A 30771-2022")</f>
        <v/>
      </c>
      <c r="X14">
        <f>HYPERLINK("https://klasma.github.io/Logging_1465/kartor/A 30771-2022 karta.png", "A 30771-2022")</f>
        <v/>
      </c>
      <c r="Y14">
        <f>HYPERLINK("https://klasma.github.io/Logging_1465/kartor_geotiff/A 30771-2022 georefererad karta.tif", "A 30771-2022")</f>
        <v/>
      </c>
      <c r="AA14">
        <f>HYPERLINK("https://klasma.github.io/Logging_1465/klagomål/A 30771-2022 FSC-klagomål.docx", "A 30771-2022")</f>
        <v/>
      </c>
      <c r="AB14">
        <f>HYPERLINK("https://klasma.github.io/Logging_1465/klagomålsmail/A 30771-2022 FSC-klagomål mail.docx", "A 30771-2022")</f>
        <v/>
      </c>
      <c r="AC14">
        <f>HYPERLINK("https://klasma.github.io/Logging_1465/tillsyn/A 30771-2022 tillsynsbegäran.docx", "A 30771-2022")</f>
        <v/>
      </c>
      <c r="AD14">
        <f>HYPERLINK("https://klasma.github.io/Logging_1465/tillsynsmail/A 30771-2022 tillsynsbegäran mail.docx", "A 30771-2022")</f>
        <v/>
      </c>
    </row>
    <row r="15" ht="15" customHeight="1">
      <c r="A15" t="inlineStr">
        <is>
          <t>A 63476-2023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45274</v>
      </c>
      <c r="E15" s="1" t="n">
        <v>46312</v>
      </c>
      <c r="F15" t="inlineStr">
        <is>
          <t>VÄSTRA GÖTALANDS LÄN</t>
        </is>
      </c>
      <c r="G15" t="inlineStr">
        <is>
          <t>SVENLJUNGA</t>
        </is>
      </c>
      <c r="I15" t="n">
        <v>2.3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s="2" t="inlineStr">
        <is>
          <t>Flytsäv</t>
        </is>
      </c>
      <c r="W15">
        <f>HYPERLINK("https://klasma.github.io/Logging_1465/artfynd/A 63476-2023 artfynd.xlsx", "A 63476-2023")</f>
        <v/>
      </c>
      <c r="X15">
        <f>HYPERLINK("https://klasma.github.io/Logging_1465/kartor/A 63476-2023 karta.png", "A 63476-2023")</f>
        <v/>
      </c>
      <c r="Y15">
        <f>HYPERLINK("https://klasma.github.io/Logging_1465/kartor_geotiff/A 63476-2023 georefererad karta.tif", "A 63476-2023")</f>
        <v/>
      </c>
      <c r="AA15">
        <f>HYPERLINK("https://klasma.github.io/Logging_1465/klagomål/A 63476-2023 FSC-klagomål.docx", "A 63476-2023")</f>
        <v/>
      </c>
      <c r="AB15">
        <f>HYPERLINK("https://klasma.github.io/Logging_1465/klagomålsmail/A 63476-2023 FSC-klagomål mail.docx", "A 63476-2023")</f>
        <v/>
      </c>
      <c r="AC15">
        <f>HYPERLINK("https://klasma.github.io/Logging_1465/tillsyn/A 63476-2023 tillsynsbegäran.docx", "A 63476-2023")</f>
        <v/>
      </c>
      <c r="AD15">
        <f>HYPERLINK("https://klasma.github.io/Logging_1465/tillsynsmail/A 63476-2023 tillsynsbegäran mail.docx", "A 63476-2023")</f>
        <v/>
      </c>
    </row>
    <row r="16" ht="15" customHeight="1">
      <c r="A16" t="inlineStr">
        <is>
          <t>A 62149-2025</t>
        </is>
      </c>
      <c r="B16" t="inlineStr">
        <is>
          <t>avverkningsanmälan</t>
        </is>
      </c>
      <c r="C16" t="inlineStr">
        <is>
          <t>Avverkning för att bevara och utveckla /försöksver</t>
        </is>
      </c>
      <c r="D16" s="1" t="n">
        <v>46006</v>
      </c>
      <c r="E16" s="1" t="n">
        <v>46312</v>
      </c>
      <c r="F16" t="inlineStr">
        <is>
          <t>VÄSTRA GÖTALANDS LÄN</t>
        </is>
      </c>
      <c r="G16" t="inlineStr">
        <is>
          <t>SVENLJUNGA</t>
        </is>
      </c>
      <c r="H16" t="inlineStr">
        <is>
          <t>Kommuner</t>
        </is>
      </c>
      <c r="I16" t="n">
        <v>1.6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s="2" t="inlineStr">
        <is>
          <t>Bårdlav</t>
        </is>
      </c>
      <c r="W16">
        <f>HYPERLINK("https://klasma.github.io/Logging_1465/artfynd/A 62149-2025 artfynd.xlsx", "A 62149-2025")</f>
        <v/>
      </c>
      <c r="X16">
        <f>HYPERLINK("https://klasma.github.io/Logging_1465/kartor/A 62149-2025 karta.png", "A 62149-2025")</f>
        <v/>
      </c>
      <c r="Y16">
        <f>HYPERLINK("https://klasma.github.io/Logging_1465/kartor_geotiff/A 62149-2025 georefererad karta.tif", "A 62149-2025")</f>
        <v/>
      </c>
      <c r="AA16">
        <f>HYPERLINK("https://klasma.github.io/Logging_1465/klagomål/A 62149-2025 FSC-klagomål.docx", "A 62149-2025")</f>
        <v/>
      </c>
      <c r="AB16">
        <f>HYPERLINK("https://klasma.github.io/Logging_1465/klagomålsmail/A 62149-2025 FSC-klagomål mail.docx", "A 62149-2025")</f>
        <v/>
      </c>
      <c r="AC16">
        <f>HYPERLINK("https://klasma.github.io/Logging_1465/tillsyn/A 62149-2025 tillsynsbegäran.docx", "A 62149-2025")</f>
        <v/>
      </c>
      <c r="AD16">
        <f>HYPERLINK("https://klasma.github.io/Logging_1465/tillsynsmail/A 62149-2025 tillsynsbegäran mail.docx", "A 62149-2025")</f>
        <v/>
      </c>
    </row>
    <row r="17" ht="15" customHeight="1">
      <c r="A17" t="inlineStr">
        <is>
          <t>A 516-2026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46029</v>
      </c>
      <c r="E17" s="1" t="n">
        <v>46312</v>
      </c>
      <c r="F17" t="inlineStr">
        <is>
          <t>VÄSTRA GÖTALANDS LÄN</t>
        </is>
      </c>
      <c r="G17" t="inlineStr">
        <is>
          <t>SVENLJUNGA</t>
        </is>
      </c>
      <c r="I17" t="n">
        <v>3.7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s="2" t="inlineStr">
        <is>
          <t>Sotlav</t>
        </is>
      </c>
      <c r="W17">
        <f>HYPERLINK("https://klasma.github.io/Logging_1465/artfynd/A 516-2026 artfynd.xlsx", "A 516-2026")</f>
        <v/>
      </c>
      <c r="X17">
        <f>HYPERLINK("https://klasma.github.io/Logging_1465/kartor/A 516-2026 karta.png", "A 516-2026")</f>
        <v/>
      </c>
      <c r="Y17">
        <f>HYPERLINK("https://klasma.github.io/Logging_1465/kartor_geotiff/A 516-2026 georefererad karta.tif", "A 516-2026")</f>
        <v/>
      </c>
      <c r="AA17">
        <f>HYPERLINK("https://klasma.github.io/Logging_1465/klagomål/A 516-2026 FSC-klagomål.docx", "A 516-2026")</f>
        <v/>
      </c>
      <c r="AB17">
        <f>HYPERLINK("https://klasma.github.io/Logging_1465/klagomålsmail/A 516-2026 FSC-klagomål mail.docx", "A 516-2026")</f>
        <v/>
      </c>
      <c r="AC17">
        <f>HYPERLINK("https://klasma.github.io/Logging_1465/tillsyn/A 516-2026 tillsynsbegäran.docx", "A 516-2026")</f>
        <v/>
      </c>
      <c r="AD17">
        <f>HYPERLINK("https://klasma.github.io/Logging_1465/tillsynsmail/A 516-2026 tillsynsbegäran mail.docx", "A 516-2026")</f>
        <v/>
      </c>
    </row>
    <row r="18" ht="15" customHeight="1">
      <c r="A18" t="inlineStr">
        <is>
          <t>A 26235-2026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46182</v>
      </c>
      <c r="E18" s="1" t="n">
        <v>46312</v>
      </c>
      <c r="F18" t="inlineStr">
        <is>
          <t>VÄSTRA GÖTALANDS LÄN</t>
        </is>
      </c>
      <c r="G18" t="inlineStr">
        <is>
          <t>SVENLJUNGA</t>
        </is>
      </c>
      <c r="I18" t="n">
        <v>9.800000000000001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s="2" t="inlineStr">
        <is>
          <t>Stor aspticka</t>
        </is>
      </c>
      <c r="W18">
        <f>HYPERLINK("https://klasma.github.io/Logging_1465/artfynd/A 26235-2026 artfynd.xlsx", "A 26235-2026")</f>
        <v/>
      </c>
      <c r="X18">
        <f>HYPERLINK("https://klasma.github.io/Logging_1465/kartor/A 26235-2026 karta.png", "A 26235-2026")</f>
        <v/>
      </c>
      <c r="Y18">
        <f>HYPERLINK("https://klasma.github.io/Logging_1465/kartor_geotiff/A 26235-2026 georefererad karta.tif", "A 26235-2026")</f>
        <v/>
      </c>
      <c r="AA18">
        <f>HYPERLINK("https://klasma.github.io/Logging_1465/klagomål/A 26235-2026 FSC-klagomål.docx", "A 26235-2026")</f>
        <v/>
      </c>
      <c r="AB18">
        <f>HYPERLINK("https://klasma.github.io/Logging_1465/klagomålsmail/A 26235-2026 FSC-klagomål mail.docx", "A 26235-2026")</f>
        <v/>
      </c>
      <c r="AC18">
        <f>HYPERLINK("https://klasma.github.io/Logging_1465/tillsyn/A 26235-2026 tillsynsbegäran.docx", "A 26235-2026")</f>
        <v/>
      </c>
      <c r="AD18">
        <f>HYPERLINK("https://klasma.github.io/Logging_1465/tillsynsmail/A 26235-2026 tillsynsbegäran mail.docx", "A 26235-2026")</f>
        <v/>
      </c>
    </row>
    <row r="19" ht="15" customHeight="1">
      <c r="A19" t="inlineStr">
        <is>
          <t>A 11966-2026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46085</v>
      </c>
      <c r="E19" s="1" t="n">
        <v>46312</v>
      </c>
      <c r="F19" t="inlineStr">
        <is>
          <t>VÄSTRA GÖTALANDS LÄN</t>
        </is>
      </c>
      <c r="G19" t="inlineStr">
        <is>
          <t>SVENLJUNGA</t>
        </is>
      </c>
      <c r="H19" t="inlineStr">
        <is>
          <t>Sveaskog</t>
        </is>
      </c>
      <c r="I19" t="n">
        <v>1.5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s="2" t="inlineStr">
        <is>
          <t>Kungsfågel</t>
        </is>
      </c>
      <c r="W19">
        <f>HYPERLINK("https://klasma.github.io/Logging_1465/artfynd/A 11966-2026 artfynd.xlsx", "A 11966-2026")</f>
        <v/>
      </c>
      <c r="X19">
        <f>HYPERLINK("https://klasma.github.io/Logging_1465/kartor/A 11966-2026 karta.png", "A 11966-2026")</f>
        <v/>
      </c>
      <c r="Y19">
        <f>HYPERLINK("https://klasma.github.io/Logging_1465/kartor_geotiff/A 11966-2026 georefererad karta.tif", "A 11966-2026")</f>
        <v/>
      </c>
      <c r="AA19">
        <f>HYPERLINK("https://klasma.github.io/Logging_1465/klagomål/A 11966-2026 FSC-klagomål.docx", "A 11966-2026")</f>
        <v/>
      </c>
      <c r="AB19">
        <f>HYPERLINK("https://klasma.github.io/Logging_1465/klagomålsmail/A 11966-2026 FSC-klagomål mail.docx", "A 11966-2026")</f>
        <v/>
      </c>
      <c r="AC19">
        <f>HYPERLINK("https://klasma.github.io/Logging_1465/tillsyn/A 11966-2026 tillsynsbegäran.docx", "A 11966-2026")</f>
        <v/>
      </c>
      <c r="AD19">
        <f>HYPERLINK("https://klasma.github.io/Logging_1465/tillsynsmail/A 11966-2026 tillsynsbegäran mail.docx", "A 11966-2026")</f>
        <v/>
      </c>
    </row>
    <row r="20" ht="15" customHeight="1">
      <c r="A20" t="inlineStr">
        <is>
          <t>A 29479-2026</t>
        </is>
      </c>
      <c r="B20" t="inlineStr">
        <is>
          <t>avverkningsanmälan</t>
        </is>
      </c>
      <c r="C20" t="inlineStr">
        <is>
          <t>Avverkning för att bevara och utveckla /försöksver</t>
        </is>
      </c>
      <c r="D20" s="1" t="n">
        <v>46203</v>
      </c>
      <c r="E20" s="1" t="n">
        <v>46312</v>
      </c>
      <c r="F20" t="inlineStr">
        <is>
          <t>VÄSTRA GÖTALANDS LÄN</t>
        </is>
      </c>
      <c r="G20" t="inlineStr">
        <is>
          <t>SVENLJUNGA</t>
        </is>
      </c>
      <c r="I20" t="n">
        <v>1.8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2</v>
      </c>
      <c r="U20" t="n">
        <v>0</v>
      </c>
      <c r="V20" s="2" t="inlineStr">
        <is>
          <t>Grynig filtlav</t>
        </is>
      </c>
      <c r="W20">
        <f>HYPERLINK("https://klasma.github.io/Logging_1465/artfynd/A 29479-2026 artfynd.xlsx", "A 29479-2026")</f>
        <v/>
      </c>
      <c r="X20">
        <f>HYPERLINK("https://klasma.github.io/Logging_1465/kartor/A 29479-2026 karta.png", "A 29479-2026")</f>
        <v/>
      </c>
      <c r="Y20">
        <f>HYPERLINK("https://klasma.github.io/Logging_1465/kartor_geotiff/A 29479-2026 georefererad karta.tif", "A 29479-2026")</f>
        <v/>
      </c>
      <c r="AA20">
        <f>HYPERLINK("https://klasma.github.io/Logging_1465/klagomål/A 29479-2026 FSC-klagomål.docx", "A 29479-2026")</f>
        <v/>
      </c>
      <c r="AB20">
        <f>HYPERLINK("https://klasma.github.io/Logging_1465/klagomålsmail/A 29479-2026 FSC-klagomål mail.docx", "A 29479-2026")</f>
        <v/>
      </c>
      <c r="AC20">
        <f>HYPERLINK("https://klasma.github.io/Logging_1465/tillsyn/A 29479-2026 tillsynsbegäran.docx", "A 29479-2026")</f>
        <v/>
      </c>
      <c r="AD20">
        <f>HYPERLINK("https://klasma.github.io/Logging_1465/tillsynsmail/A 29479-2026 tillsynsbegäran mail.docx", "A 29479-2026")</f>
        <v/>
      </c>
    </row>
    <row r="21" ht="15" customHeight="1">
      <c r="A21" t="inlineStr">
        <is>
          <t>A 37104-2026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46274</v>
      </c>
      <c r="E21" s="1" t="n">
        <v>46312</v>
      </c>
      <c r="F21" t="inlineStr">
        <is>
          <t>VÄSTRA GÖTALANDS LÄN</t>
        </is>
      </c>
      <c r="G21" t="inlineStr">
        <is>
          <t>SVENLJUNGA</t>
        </is>
      </c>
      <c r="I21" t="n">
        <v>2.5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s="2" t="inlineStr">
        <is>
          <t>Klippfrullania</t>
        </is>
      </c>
      <c r="W21">
        <f>HYPERLINK("https://klasma.github.io/Logging_1465/artfynd/A 37104-2026 artfynd.xlsx", "A 37104-2026")</f>
        <v/>
      </c>
      <c r="X21">
        <f>HYPERLINK("https://klasma.github.io/Logging_1465/kartor/A 37104-2026 karta.png", "A 37104-2026")</f>
        <v/>
      </c>
      <c r="Y21">
        <f>HYPERLINK("https://klasma.github.io/Logging_1465/kartor_geotiff/A 37104-2026 georefererad karta.tif", "A 37104-2026")</f>
        <v/>
      </c>
      <c r="AA21">
        <f>HYPERLINK("https://klasma.github.io/Logging_1465/klagomål/A 37104-2026 FSC-klagomål.docx", "A 37104-2026")</f>
        <v/>
      </c>
      <c r="AB21">
        <f>HYPERLINK("https://klasma.github.io/Logging_1465/klagomålsmail/A 37104-2026 FSC-klagomål mail.docx", "A 37104-2026")</f>
        <v/>
      </c>
      <c r="AC21">
        <f>HYPERLINK("https://klasma.github.io/Logging_1465/tillsyn/A 37104-2026 tillsynsbegäran.docx", "A 37104-2026")</f>
        <v/>
      </c>
      <c r="AD21">
        <f>HYPERLINK("https://klasma.github.io/Logging_1465/tillsynsmail/A 37104-2026 tillsynsbegäran mail.docx", "A 37104-2026")</f>
        <v/>
      </c>
    </row>
    <row r="22" ht="15" customHeight="1">
      <c r="A22" t="inlineStr">
        <is>
          <t>A 39346-2026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46288</v>
      </c>
      <c r="E22" s="1" t="n">
        <v>46312</v>
      </c>
      <c r="F22" t="inlineStr">
        <is>
          <t>VÄSTRA GÖTALANDS LÄN</t>
        </is>
      </c>
      <c r="G22" t="inlineStr">
        <is>
          <t>SVENLJUNGA</t>
        </is>
      </c>
      <c r="I22" t="n">
        <v>4.6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Thomsons trägnagare</t>
        </is>
      </c>
      <c r="W22">
        <f>HYPERLINK("https://klasma.github.io/Logging_1465/artfynd/A 39346-2026 artfynd.xlsx", "A 39346-2026")</f>
        <v/>
      </c>
      <c r="X22">
        <f>HYPERLINK("https://klasma.github.io/Logging_1465/kartor/A 39346-2026 karta.png", "A 39346-2026")</f>
        <v/>
      </c>
      <c r="Y22">
        <f>HYPERLINK("https://klasma.github.io/Logging_1465/kartor_geotiff/A 39346-2026 georefererad karta.tif", "A 39346-2026")</f>
        <v/>
      </c>
      <c r="AA22">
        <f>HYPERLINK("https://klasma.github.io/Logging_1465/klagomål/A 39346-2026 FSC-klagomål.docx", "A 39346-2026")</f>
        <v/>
      </c>
      <c r="AB22">
        <f>HYPERLINK("https://klasma.github.io/Logging_1465/klagomålsmail/A 39346-2026 FSC-klagomål mail.docx", "A 39346-2026")</f>
        <v/>
      </c>
      <c r="AC22">
        <f>HYPERLINK("https://klasma.github.io/Logging_1465/tillsyn/A 39346-2026 tillsynsbegäran.docx", "A 39346-2026")</f>
        <v/>
      </c>
      <c r="AD22">
        <f>HYPERLINK("https://klasma.github.io/Logging_1465/tillsynsmail/A 39346-2026 tillsynsbegäran mail.docx", "A 39346-2026")</f>
        <v/>
      </c>
    </row>
    <row r="23" ht="15" customHeight="1">
      <c r="A23" t="inlineStr">
        <is>
          <t>A 16061-2025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45749</v>
      </c>
      <c r="E23" s="1" t="n">
        <v>46312</v>
      </c>
      <c r="F23" t="inlineStr">
        <is>
          <t>VÄSTRA GÖTALANDS LÄN</t>
        </is>
      </c>
      <c r="G23" t="inlineStr">
        <is>
          <t>SVENLJUNGA</t>
        </is>
      </c>
      <c r="I23" t="n">
        <v>1.9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s="2" t="inlineStr">
        <is>
          <t>Slåttergubbe</t>
        </is>
      </c>
      <c r="W23">
        <f>HYPERLINK("https://klasma.github.io/Logging_1465/artfynd/A 16061-2025 artfynd.xlsx", "A 16061-2025")</f>
        <v/>
      </c>
      <c r="X23">
        <f>HYPERLINK("https://klasma.github.io/Logging_1465/kartor/A 16061-2025 karta.png", "A 16061-2025")</f>
        <v/>
      </c>
      <c r="Y23">
        <f>HYPERLINK("https://klasma.github.io/Logging_1465/kartor_geotiff/A 16061-2025 georefererad karta.tif", "A 16061-2025")</f>
        <v/>
      </c>
      <c r="AA23">
        <f>HYPERLINK("https://klasma.github.io/Logging_1465/klagomål/A 16061-2025 FSC-klagomål.docx", "A 16061-2025")</f>
        <v/>
      </c>
      <c r="AB23">
        <f>HYPERLINK("https://klasma.github.io/Logging_1465/klagomålsmail/A 16061-2025 FSC-klagomål mail.docx", "A 16061-2025")</f>
        <v/>
      </c>
      <c r="AC23">
        <f>HYPERLINK("https://klasma.github.io/Logging_1465/tillsyn/A 16061-2025 tillsynsbegäran.docx", "A 16061-2025")</f>
        <v/>
      </c>
      <c r="AD23">
        <f>HYPERLINK("https://klasma.github.io/Logging_1465/tillsynsmail/A 16061-2025 tillsynsbegäran mail.docx", "A 16061-2025")</f>
        <v/>
      </c>
    </row>
    <row r="24" ht="15" customHeight="1">
      <c r="A24" t="inlineStr">
        <is>
          <t>A 25755-2025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45804</v>
      </c>
      <c r="E24" s="1" t="n">
        <v>46312</v>
      </c>
      <c r="F24" t="inlineStr">
        <is>
          <t>VÄSTRA GÖTALANDS LÄN</t>
        </is>
      </c>
      <c r="G24" t="inlineStr">
        <is>
          <t>SVENLJUNGA</t>
        </is>
      </c>
      <c r="I24" t="n">
        <v>5.7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Fällmossa</t>
        </is>
      </c>
      <c r="W24">
        <f>HYPERLINK("https://klasma.github.io/Logging_1465/artfynd/A 25755-2025 artfynd.xlsx", "A 25755-2025")</f>
        <v/>
      </c>
      <c r="X24">
        <f>HYPERLINK("https://klasma.github.io/Logging_1465/kartor/A 25755-2025 karta.png", "A 25755-2025")</f>
        <v/>
      </c>
      <c r="Y24">
        <f>HYPERLINK("https://klasma.github.io/Logging_1465/kartor_geotiff/A 25755-2025 georefererad karta.tif", "A 25755-2025")</f>
        <v/>
      </c>
      <c r="AA24">
        <f>HYPERLINK("https://klasma.github.io/Logging_1465/klagomål/A 25755-2025 FSC-klagomål.docx", "A 25755-2025")</f>
        <v/>
      </c>
      <c r="AB24">
        <f>HYPERLINK("https://klasma.github.io/Logging_1465/klagomålsmail/A 25755-2025 FSC-klagomål mail.docx", "A 25755-2025")</f>
        <v/>
      </c>
      <c r="AC24">
        <f>HYPERLINK("https://klasma.github.io/Logging_1465/tillsyn/A 25755-2025 tillsynsbegäran.docx", "A 25755-2025")</f>
        <v/>
      </c>
      <c r="AD24">
        <f>HYPERLINK("https://klasma.github.io/Logging_1465/tillsynsmail/A 25755-2025 tillsynsbegäran mail.docx", "A 25755-2025")</f>
        <v/>
      </c>
    </row>
    <row r="25" ht="15" customHeight="1">
      <c r="A25" t="inlineStr">
        <is>
          <t>A 12658-2025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45733</v>
      </c>
      <c r="E25" s="1" t="n">
        <v>46312</v>
      </c>
      <c r="F25" t="inlineStr">
        <is>
          <t>VÄSTRA GÖTALANDS LÄN</t>
        </is>
      </c>
      <c r="G25" t="inlineStr">
        <is>
          <t>SVENLJUNGA</t>
        </is>
      </c>
      <c r="I25" t="n">
        <v>3.7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s="2" t="inlineStr">
        <is>
          <t>Igelkott</t>
        </is>
      </c>
      <c r="W25">
        <f>HYPERLINK("https://klasma.github.io/Logging_1465/artfynd/A 12658-2025 artfynd.xlsx", "A 12658-2025")</f>
        <v/>
      </c>
      <c r="X25">
        <f>HYPERLINK("https://klasma.github.io/Logging_1465/kartor/A 12658-2025 karta.png", "A 12658-2025")</f>
        <v/>
      </c>
      <c r="Y25">
        <f>HYPERLINK("https://klasma.github.io/Logging_1465/kartor_geotiff/A 12658-2025 georefererad karta.tif", "A 12658-2025")</f>
        <v/>
      </c>
      <c r="AA25">
        <f>HYPERLINK("https://klasma.github.io/Logging_1465/klagomål/A 12658-2025 FSC-klagomål.docx", "A 12658-2025")</f>
        <v/>
      </c>
      <c r="AB25">
        <f>HYPERLINK("https://klasma.github.io/Logging_1465/klagomålsmail/A 12658-2025 FSC-klagomål mail.docx", "A 12658-2025")</f>
        <v/>
      </c>
      <c r="AC25">
        <f>HYPERLINK("https://klasma.github.io/Logging_1465/tillsyn/A 12658-2025 tillsynsbegäran.docx", "A 12658-2025")</f>
        <v/>
      </c>
      <c r="AD25">
        <f>HYPERLINK("https://klasma.github.io/Logging_1465/tillsynsmail/A 12658-2025 tillsynsbegäran mail.docx", "A 12658-2025")</f>
        <v/>
      </c>
    </row>
    <row r="26" ht="15" customHeight="1">
      <c r="A26" t="inlineStr">
        <is>
          <t>S 2813-2022</t>
        </is>
      </c>
      <c r="B26" t="inlineStr">
        <is>
          <t>samrådsanmälan</t>
        </is>
      </c>
      <c r="C26" t="inlineStr">
        <is>
          <t>Askåterföring</t>
        </is>
      </c>
      <c r="D26" s="1" t="n">
        <v>44706</v>
      </c>
      <c r="E26" s="1" t="n">
        <v>46312</v>
      </c>
      <c r="F26" t="inlineStr">
        <is>
          <t>VÄSTRA GÖTALANDS LÄN</t>
        </is>
      </c>
      <c r="G26" t="inlineStr">
        <is>
          <t>SVENLJUNGA</t>
        </is>
      </c>
      <c r="H26" t="inlineStr">
        <is>
          <t>Kyrkan</t>
        </is>
      </c>
      <c r="I26" t="n">
        <v>69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s="2" t="inlineStr">
        <is>
          <t>Hasselmus</t>
        </is>
      </c>
      <c r="W26">
        <f>HYPERLINK("https://klasma.github.io/Logging_1465/artfynd/S 2813-2022 artfynd.xlsx", "S 2813-2022")</f>
        <v/>
      </c>
      <c r="X26">
        <f>HYPERLINK("https://klasma.github.io/Logging_1465/kartor/S 2813-2022 karta.png", "S 2813-2022")</f>
        <v/>
      </c>
      <c r="Y26">
        <f>HYPERLINK("https://klasma.github.io/Logging_1465/kartor_geotiff/S 2813-2022 georefererad karta.tif", "S 2813-2022")</f>
        <v/>
      </c>
      <c r="AA26">
        <f>HYPERLINK("https://klasma.github.io/Logging_1465/klagomål/S 2813-2022 FSC-klagomål.docx", "S 2813-2022")</f>
        <v/>
      </c>
      <c r="AB26">
        <f>HYPERLINK("https://klasma.github.io/Logging_1465/klagomålsmail/S 2813-2022 FSC-klagomål mail.docx", "S 2813-2022")</f>
        <v/>
      </c>
      <c r="AC26">
        <f>HYPERLINK("https://klasma.github.io/Logging_1465/tillsyn/S 2813-2022 tillsynsbegäran.docx", "S 2813-2022")</f>
        <v/>
      </c>
      <c r="AD26">
        <f>HYPERLINK("https://klasma.github.io/Logging_1465/tillsynsmail/S 2813-2022 tillsynsbegäran mail.docx", "S 2813-2022")</f>
        <v/>
      </c>
    </row>
    <row r="27" ht="15" customHeight="1">
      <c r="A27" t="inlineStr">
        <is>
          <t>S 2818-2022</t>
        </is>
      </c>
      <c r="B27" t="inlineStr">
        <is>
          <t>samrådsanmälan</t>
        </is>
      </c>
      <c r="C27" t="inlineStr">
        <is>
          <t>Askåterföring</t>
        </is>
      </c>
      <c r="D27" s="1" t="n">
        <v>44706</v>
      </c>
      <c r="E27" s="1" t="n">
        <v>46312</v>
      </c>
      <c r="F27" t="inlineStr">
        <is>
          <t>VÄSTRA GÖTALANDS LÄN</t>
        </is>
      </c>
      <c r="G27" t="inlineStr">
        <is>
          <t>SVENLJUNGA</t>
        </is>
      </c>
      <c r="I27" t="n">
        <v>40.8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1</v>
      </c>
      <c r="V27" s="2" t="inlineStr">
        <is>
          <t>Borsttåg</t>
        </is>
      </c>
      <c r="W27">
        <f>HYPERLINK("https://klasma.github.io/Logging_1465/artfynd/S 2818-2022 artfynd.xlsx", "S 2818-2022")</f>
        <v/>
      </c>
      <c r="X27">
        <f>HYPERLINK("https://klasma.github.io/Logging_1465/kartor/S 2818-2022 karta.png", "S 2818-2022")</f>
        <v/>
      </c>
      <c r="Y27">
        <f>HYPERLINK("https://klasma.github.io/Logging_1465/kartor_geotiff/S 2818-2022 georefererad karta.tif", "S 2818-2022")</f>
        <v/>
      </c>
      <c r="AA27">
        <f>HYPERLINK("https://klasma.github.io/Logging_1465/klagomål/S 2818-2022 FSC-klagomål.docx", "S 2818-2022")</f>
        <v/>
      </c>
      <c r="AB27">
        <f>HYPERLINK("https://klasma.github.io/Logging_1465/klagomålsmail/S 2818-2022 FSC-klagomål mail.docx", "S 2818-2022")</f>
        <v/>
      </c>
      <c r="AC27">
        <f>HYPERLINK("https://klasma.github.io/Logging_1465/tillsyn/S 2818-2022 tillsynsbegäran.docx", "S 2818-2022")</f>
        <v/>
      </c>
      <c r="AD27">
        <f>HYPERLINK("https://klasma.github.io/Logging_1465/tillsynsmail/S 2818-2022 tillsynsbegäran mail.docx", "S 2818-2022")</f>
        <v/>
      </c>
    </row>
    <row r="28" ht="15" customHeight="1">
      <c r="A28" t="inlineStr">
        <is>
          <t>S 540-2023</t>
        </is>
      </c>
      <c r="B28" t="inlineStr">
        <is>
          <t>samrådsanmälan</t>
        </is>
      </c>
      <c r="C28" t="inlineStr">
        <is>
          <t>Askåterföring</t>
        </is>
      </c>
      <c r="D28" s="1" t="n">
        <v>44972</v>
      </c>
      <c r="E28" s="1" t="n">
        <v>46312</v>
      </c>
      <c r="F28" t="inlineStr">
        <is>
          <t>VÄSTRA GÖTALANDS LÄN</t>
        </is>
      </c>
      <c r="G28" t="inlineStr">
        <is>
          <t>SVENLJUNGA</t>
        </is>
      </c>
      <c r="I28" t="n">
        <v>7.7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Fällmossa</t>
        </is>
      </c>
      <c r="W28">
        <f>HYPERLINK("https://klasma.github.io/Logging_1465/artfynd/S 540-2023 artfynd.xlsx", "S 540-2023")</f>
        <v/>
      </c>
      <c r="X28">
        <f>HYPERLINK("https://klasma.github.io/Logging_1465/kartor/S 540-2023 karta.png", "S 540-2023")</f>
        <v/>
      </c>
      <c r="Y28">
        <f>HYPERLINK("https://klasma.github.io/Logging_1465/kartor_geotiff/S 540-2023 georefererad karta.tif", "S 540-2023")</f>
        <v/>
      </c>
      <c r="AA28">
        <f>HYPERLINK("https://klasma.github.io/Logging_1465/klagomål/S 540-2023 FSC-klagomål.docx", "S 540-2023")</f>
        <v/>
      </c>
      <c r="AB28">
        <f>HYPERLINK("https://klasma.github.io/Logging_1465/klagomålsmail/S 540-2023 FSC-klagomål mail.docx", "S 540-2023")</f>
        <v/>
      </c>
      <c r="AC28">
        <f>HYPERLINK("https://klasma.github.io/Logging_1465/tillsyn/S 540-2023 tillsynsbegäran.docx", "S 540-2023")</f>
        <v/>
      </c>
      <c r="AD28">
        <f>HYPERLINK("https://klasma.github.io/Logging_1465/tillsynsmail/S 540-2023 tillsynsbegäran mail.docx", "S 540-2023")</f>
        <v/>
      </c>
    </row>
    <row r="29" ht="15" customHeight="1">
      <c r="A29" t="inlineStr">
        <is>
          <t>S 1502-2024</t>
        </is>
      </c>
      <c r="B29" t="inlineStr">
        <is>
          <t>samrådsanmälan</t>
        </is>
      </c>
      <c r="C29" t="inlineStr">
        <is>
          <t>Askåterföring</t>
        </is>
      </c>
      <c r="D29" s="1" t="n">
        <v>45422</v>
      </c>
      <c r="E29" s="1" t="n">
        <v>46312</v>
      </c>
      <c r="F29" t="inlineStr">
        <is>
          <t>VÄSTRA GÖTALANDS LÄN</t>
        </is>
      </c>
      <c r="G29" t="inlineStr">
        <is>
          <t>SVENLJUNGA</t>
        </is>
      </c>
      <c r="I29" t="n">
        <v>12.2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Kortskaftad ärgspik</t>
        </is>
      </c>
      <c r="W29">
        <f>HYPERLINK("https://klasma.github.io/Logging_1465/artfynd/S 1502-2024 artfynd.xlsx", "S 1502-2024")</f>
        <v/>
      </c>
      <c r="X29">
        <f>HYPERLINK("https://klasma.github.io/Logging_1465/kartor/S 1502-2024 karta.png", "S 1502-2024")</f>
        <v/>
      </c>
      <c r="Y29">
        <f>HYPERLINK("https://klasma.github.io/Logging_1465/kartor_geotiff/S 1502-2024 georefererad karta.tif", "S 1502-2024")</f>
        <v/>
      </c>
      <c r="AA29">
        <f>HYPERLINK("https://klasma.github.io/Logging_1465/klagomål/S 1502-2024 FSC-klagomål.docx", "S 1502-2024")</f>
        <v/>
      </c>
      <c r="AB29">
        <f>HYPERLINK("https://klasma.github.io/Logging_1465/klagomålsmail/S 1502-2024 FSC-klagomål mail.docx", "S 1502-2024")</f>
        <v/>
      </c>
      <c r="AC29">
        <f>HYPERLINK("https://klasma.github.io/Logging_1465/tillsyn/S 1502-2024 tillsynsbegäran.docx", "S 1502-2024")</f>
        <v/>
      </c>
      <c r="AD29">
        <f>HYPERLINK("https://klasma.github.io/Logging_1465/tillsynsmail/S 1502-2024 tillsynsbegäran mail.docx", "S 1502-2024")</f>
        <v/>
      </c>
    </row>
    <row r="30" ht="15" customHeight="1">
      <c r="A30" t="inlineStr">
        <is>
          <t>S 479-2023</t>
        </is>
      </c>
      <c r="B30" t="inlineStr">
        <is>
          <t>samrådsanmälan</t>
        </is>
      </c>
      <c r="C30" t="inlineStr">
        <is>
          <t>Askåterföring</t>
        </is>
      </c>
      <c r="D30" s="1" t="n">
        <v>44969</v>
      </c>
      <c r="E30" s="1" t="n">
        <v>46312</v>
      </c>
      <c r="F30" t="inlineStr">
        <is>
          <t>VÄSTRA GÖTALANDS LÄN</t>
        </is>
      </c>
      <c r="G30" t="inlineStr">
        <is>
          <t>SVENLJUNGA</t>
        </is>
      </c>
      <c r="I30" t="n">
        <v>52.1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2</v>
      </c>
      <c r="U30" t="n">
        <v>1</v>
      </c>
      <c r="V30" s="2" t="inlineStr">
        <is>
          <t>Borsttåg</t>
        </is>
      </c>
      <c r="W30">
        <f>HYPERLINK("https://klasma.github.io/Logging_1465/artfynd/S 479-2023 artfynd.xlsx", "S 479-2023")</f>
        <v/>
      </c>
      <c r="X30">
        <f>HYPERLINK("https://klasma.github.io/Logging_1465/kartor/S 479-2023 karta.png", "S 479-2023")</f>
        <v/>
      </c>
      <c r="Y30">
        <f>HYPERLINK("https://klasma.github.io/Logging_1465/kartor_geotiff/S 479-2023 georefererad karta.tif", "S 479-2023")</f>
        <v/>
      </c>
      <c r="AA30">
        <f>HYPERLINK("https://klasma.github.io/Logging_1465/klagomål/S 479-2023 FSC-klagomål.docx", "S 479-2023")</f>
        <v/>
      </c>
      <c r="AB30">
        <f>HYPERLINK("https://klasma.github.io/Logging_1465/klagomålsmail/S 479-2023 FSC-klagomål mail.docx", "S 479-2023")</f>
        <v/>
      </c>
      <c r="AC30">
        <f>HYPERLINK("https://klasma.github.io/Logging_1465/tillsyn/S 479-2023 tillsynsbegäran.docx", "S 479-2023")</f>
        <v/>
      </c>
      <c r="AD30">
        <f>HYPERLINK("https://klasma.github.io/Logging_1465/tillsynsmail/S 479-2023 tillsynsbegäran mail.docx", "S 479-2023")</f>
        <v/>
      </c>
    </row>
    <row r="31" ht="15" customHeight="1">
      <c r="A31" t="inlineStr">
        <is>
          <t>A 61629-2021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44501</v>
      </c>
      <c r="E31" s="1" t="n">
        <v>46312</v>
      </c>
      <c r="F31" t="inlineStr">
        <is>
          <t>VÄSTRA GÖTALANDS LÄN</t>
        </is>
      </c>
      <c r="G31" t="inlineStr">
        <is>
          <t>SVENLJUNGA</t>
        </is>
      </c>
      <c r="I31" t="n">
        <v>2.6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21453-2022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44706</v>
      </c>
      <c r="E32" s="1" t="n">
        <v>46312</v>
      </c>
      <c r="F32" t="inlineStr">
        <is>
          <t>VÄSTRA GÖTALANDS LÄN</t>
        </is>
      </c>
      <c r="G32" t="inlineStr">
        <is>
          <t>SVENLJUNGA</t>
        </is>
      </c>
      <c r="I32" t="n">
        <v>2.2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18592-2022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44687</v>
      </c>
      <c r="E33" s="1" t="n">
        <v>46312</v>
      </c>
      <c r="F33" t="inlineStr">
        <is>
          <t>VÄSTRA GÖTALANDS LÄN</t>
        </is>
      </c>
      <c r="G33" t="inlineStr">
        <is>
          <t>SVENLJUNGA</t>
        </is>
      </c>
      <c r="I33" t="n">
        <v>3.1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53893-2022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44880</v>
      </c>
      <c r="E34" s="1" t="n">
        <v>46312</v>
      </c>
      <c r="F34" t="inlineStr">
        <is>
          <t>VÄSTRA GÖTALANDS LÄN</t>
        </is>
      </c>
      <c r="G34" t="inlineStr">
        <is>
          <t>SVENLJUNGA</t>
        </is>
      </c>
      <c r="I34" t="n">
        <v>0.9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4301-2022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44588</v>
      </c>
      <c r="E35" s="1" t="n">
        <v>46312</v>
      </c>
      <c r="F35" t="inlineStr">
        <is>
          <t>VÄSTRA GÖTALANDS LÄN</t>
        </is>
      </c>
      <c r="G35" t="inlineStr">
        <is>
          <t>SVENLJUNGA</t>
        </is>
      </c>
      <c r="I35" t="n">
        <v>0.8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46638-2022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44849</v>
      </c>
      <c r="E36" s="1" t="n">
        <v>46312</v>
      </c>
      <c r="F36" t="inlineStr">
        <is>
          <t>VÄSTRA GÖTALANDS LÄN</t>
        </is>
      </c>
      <c r="G36" t="inlineStr">
        <is>
          <t>SVENLJUNGA</t>
        </is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69103-2021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44530</v>
      </c>
      <c r="E37" s="1" t="n">
        <v>46312</v>
      </c>
      <c r="F37" t="inlineStr">
        <is>
          <t>VÄSTRA GÖTALANDS LÄN</t>
        </is>
      </c>
      <c r="G37" t="inlineStr">
        <is>
          <t>SVENLJUNGA</t>
        </is>
      </c>
      <c r="H37" t="inlineStr">
        <is>
          <t>Kommuner</t>
        </is>
      </c>
      <c r="I37" t="n">
        <v>1.3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60439-2021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44496</v>
      </c>
      <c r="E38" s="1" t="n">
        <v>46312</v>
      </c>
      <c r="F38" t="inlineStr">
        <is>
          <t>VÄSTRA GÖTALANDS LÄN</t>
        </is>
      </c>
      <c r="G38" t="inlineStr">
        <is>
          <t>SVENLJUNGA</t>
        </is>
      </c>
      <c r="I38" t="n">
        <v>9.199999999999999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65995-2021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44517</v>
      </c>
      <c r="E39" s="1" t="n">
        <v>46312</v>
      </c>
      <c r="F39" t="inlineStr">
        <is>
          <t>VÄSTRA GÖTALANDS LÄN</t>
        </is>
      </c>
      <c r="G39" t="inlineStr">
        <is>
          <t>SVENLJUNGA</t>
        </is>
      </c>
      <c r="I39" t="n">
        <v>0.6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8964-2022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44614</v>
      </c>
      <c r="E40" s="1" t="n">
        <v>46312</v>
      </c>
      <c r="F40" t="inlineStr">
        <is>
          <t>VÄSTRA GÖTALANDS LÄN</t>
        </is>
      </c>
      <c r="G40" t="inlineStr">
        <is>
          <t>SVENLJUNGA</t>
        </is>
      </c>
      <c r="I40" t="n">
        <v>1.3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24700-2022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44727</v>
      </c>
      <c r="E41" s="1" t="n">
        <v>46312</v>
      </c>
      <c r="F41" t="inlineStr">
        <is>
          <t>VÄSTRA GÖTALANDS LÄN</t>
        </is>
      </c>
      <c r="G41" t="inlineStr">
        <is>
          <t>SVENLJUNGA</t>
        </is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33685-2022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44789</v>
      </c>
      <c r="E42" s="1" t="n">
        <v>46312</v>
      </c>
      <c r="F42" t="inlineStr">
        <is>
          <t>VÄSTRA GÖTALANDS LÄN</t>
        </is>
      </c>
      <c r="G42" t="inlineStr">
        <is>
          <t>SVENLJUNGA</t>
        </is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15262-2022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44659</v>
      </c>
      <c r="E43" s="1" t="n">
        <v>46312</v>
      </c>
      <c r="F43" t="inlineStr">
        <is>
          <t>VÄSTRA GÖTALANDS LÄN</t>
        </is>
      </c>
      <c r="G43" t="inlineStr">
        <is>
          <t>SVENLJUNGA</t>
        </is>
      </c>
      <c r="I43" t="n">
        <v>13.4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61046-2021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44497</v>
      </c>
      <c r="E44" s="1" t="n">
        <v>46312</v>
      </c>
      <c r="F44" t="inlineStr">
        <is>
          <t>VÄSTRA GÖTALANDS LÄN</t>
        </is>
      </c>
      <c r="G44" t="inlineStr">
        <is>
          <t>SVENLJUNGA</t>
        </is>
      </c>
      <c r="I44" t="n">
        <v>2.8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40651-2022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44824</v>
      </c>
      <c r="E45" s="1" t="n">
        <v>46312</v>
      </c>
      <c r="F45" t="inlineStr">
        <is>
          <t>VÄSTRA GÖTALANDS LÄN</t>
        </is>
      </c>
      <c r="G45" t="inlineStr">
        <is>
          <t>SVENLJUNGA</t>
        </is>
      </c>
      <c r="I45" t="n">
        <v>1.6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60337-2021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44496</v>
      </c>
      <c r="E46" s="1" t="n">
        <v>46312</v>
      </c>
      <c r="F46" t="inlineStr">
        <is>
          <t>VÄSTRA GÖTALANDS LÄN</t>
        </is>
      </c>
      <c r="G46" t="inlineStr">
        <is>
          <t>SVENLJUNGA</t>
        </is>
      </c>
      <c r="I46" t="n">
        <v>9.800000000000001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61185-2021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44498</v>
      </c>
      <c r="E47" s="1" t="n">
        <v>46312</v>
      </c>
      <c r="F47" t="inlineStr">
        <is>
          <t>VÄSTRA GÖTALANDS LÄN</t>
        </is>
      </c>
      <c r="G47" t="inlineStr">
        <is>
          <t>SVENLJUNGA</t>
        </is>
      </c>
      <c r="I47" t="n">
        <v>1.6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69871-2021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44532</v>
      </c>
      <c r="E48" s="1" t="n">
        <v>46312</v>
      </c>
      <c r="F48" t="inlineStr">
        <is>
          <t>VÄSTRA GÖTALANDS LÄN</t>
        </is>
      </c>
      <c r="G48" t="inlineStr">
        <is>
          <t>SVENLJUNGA</t>
        </is>
      </c>
      <c r="I48" t="n">
        <v>2.3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21447-2022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44706</v>
      </c>
      <c r="E49" s="1" t="n">
        <v>46312</v>
      </c>
      <c r="F49" t="inlineStr">
        <is>
          <t>VÄSTRA GÖTALANDS LÄN</t>
        </is>
      </c>
      <c r="G49" t="inlineStr">
        <is>
          <t>SVENLJUNGA</t>
        </is>
      </c>
      <c r="I49" t="n">
        <v>2.2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24135-2022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44725</v>
      </c>
      <c r="E50" s="1" t="n">
        <v>46312</v>
      </c>
      <c r="F50" t="inlineStr">
        <is>
          <t>VÄSTRA GÖTALANDS LÄN</t>
        </is>
      </c>
      <c r="G50" t="inlineStr">
        <is>
          <t>SVENLJUNGA</t>
        </is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66018-2021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44517</v>
      </c>
      <c r="E51" s="1" t="n">
        <v>46312</v>
      </c>
      <c r="F51" t="inlineStr">
        <is>
          <t>VÄSTRA GÖTALANDS LÄN</t>
        </is>
      </c>
      <c r="G51" t="inlineStr">
        <is>
          <t>SVENLJUNGA</t>
        </is>
      </c>
      <c r="I51" t="n">
        <v>10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19245-2022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44692</v>
      </c>
      <c r="E52" s="1" t="n">
        <v>46312</v>
      </c>
      <c r="F52" t="inlineStr">
        <is>
          <t>VÄSTRA GÖTALANDS LÄN</t>
        </is>
      </c>
      <c r="G52" t="inlineStr">
        <is>
          <t>SVENLJUNGA</t>
        </is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8278-2022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44610</v>
      </c>
      <c r="E53" s="1" t="n">
        <v>46312</v>
      </c>
      <c r="F53" t="inlineStr">
        <is>
          <t>VÄSTRA GÖTALANDS LÄN</t>
        </is>
      </c>
      <c r="G53" t="inlineStr">
        <is>
          <t>SVENLJUNGA</t>
        </is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59335-2021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44491</v>
      </c>
      <c r="E54" s="1" t="n">
        <v>46312</v>
      </c>
      <c r="F54" t="inlineStr">
        <is>
          <t>VÄSTRA GÖTALANDS LÄN</t>
        </is>
      </c>
      <c r="G54" t="inlineStr">
        <is>
          <t>SVENLJUNGA</t>
        </is>
      </c>
      <c r="I54" t="n">
        <v>1.1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9386-2022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44616</v>
      </c>
      <c r="E55" s="1" t="n">
        <v>46312</v>
      </c>
      <c r="F55" t="inlineStr">
        <is>
          <t>VÄSTRA GÖTALANDS LÄN</t>
        </is>
      </c>
      <c r="G55" t="inlineStr">
        <is>
          <t>SVENLJUNGA</t>
        </is>
      </c>
      <c r="I55" t="n">
        <v>0.5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65106-2021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44515</v>
      </c>
      <c r="E56" s="1" t="n">
        <v>46312</v>
      </c>
      <c r="F56" t="inlineStr">
        <is>
          <t>VÄSTRA GÖTALANDS LÄN</t>
        </is>
      </c>
      <c r="G56" t="inlineStr">
        <is>
          <t>SVENLJUNGA</t>
        </is>
      </c>
      <c r="I56" t="n">
        <v>3.6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65113-2021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44515</v>
      </c>
      <c r="E57" s="1" t="n">
        <v>46312</v>
      </c>
      <c r="F57" t="inlineStr">
        <is>
          <t>VÄSTRA GÖTALANDS LÄN</t>
        </is>
      </c>
      <c r="G57" t="inlineStr">
        <is>
          <t>SVENLJUNGA</t>
        </is>
      </c>
      <c r="I57" t="n">
        <v>0.8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54279-2022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44882</v>
      </c>
      <c r="E58" s="1" t="n">
        <v>46312</v>
      </c>
      <c r="F58" t="inlineStr">
        <is>
          <t>VÄSTRA GÖTALANDS LÄN</t>
        </is>
      </c>
      <c r="G58" t="inlineStr">
        <is>
          <t>SVENLJUNGA</t>
        </is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58342-2021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44488</v>
      </c>
      <c r="E59" s="1" t="n">
        <v>46312</v>
      </c>
      <c r="F59" t="inlineStr">
        <is>
          <t>VÄSTRA GÖTALANDS LÄN</t>
        </is>
      </c>
      <c r="G59" t="inlineStr">
        <is>
          <t>SVENLJUNGA</t>
        </is>
      </c>
      <c r="I59" t="n">
        <v>3.3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67472-2021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44524</v>
      </c>
      <c r="E60" s="1" t="n">
        <v>46312</v>
      </c>
      <c r="F60" t="inlineStr">
        <is>
          <t>VÄSTRA GÖTALANDS LÄN</t>
        </is>
      </c>
      <c r="G60" t="inlineStr">
        <is>
          <t>SVENLJUNGA</t>
        </is>
      </c>
      <c r="I60" t="n">
        <v>1.8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34465-2022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44792</v>
      </c>
      <c r="E61" s="1" t="n">
        <v>46312</v>
      </c>
      <c r="F61" t="inlineStr">
        <is>
          <t>VÄSTRA GÖTALANDS LÄN</t>
        </is>
      </c>
      <c r="G61" t="inlineStr">
        <is>
          <t>SVENLJUNGA</t>
        </is>
      </c>
      <c r="I61" t="n">
        <v>1.6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33675-2022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44789</v>
      </c>
      <c r="E62" s="1" t="n">
        <v>46312</v>
      </c>
      <c r="F62" t="inlineStr">
        <is>
          <t>VÄSTRA GÖTALANDS LÄN</t>
        </is>
      </c>
      <c r="G62" t="inlineStr">
        <is>
          <t>SVENLJUNGA</t>
        </is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35102-2022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44797</v>
      </c>
      <c r="E63" s="1" t="n">
        <v>46312</v>
      </c>
      <c r="F63" t="inlineStr">
        <is>
          <t>VÄSTRA GÖTALANDS LÄN</t>
        </is>
      </c>
      <c r="G63" t="inlineStr">
        <is>
          <t>SVENLJUNGA</t>
        </is>
      </c>
      <c r="I63" t="n">
        <v>0.9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69092-2021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44530</v>
      </c>
      <c r="E64" s="1" t="n">
        <v>46312</v>
      </c>
      <c r="F64" t="inlineStr">
        <is>
          <t>VÄSTRA GÖTALANDS LÄN</t>
        </is>
      </c>
      <c r="G64" t="inlineStr">
        <is>
          <t>SVENLJUNGA</t>
        </is>
      </c>
      <c r="H64" t="inlineStr">
        <is>
          <t>Kommuner</t>
        </is>
      </c>
      <c r="I64" t="n">
        <v>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34841-2022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44796</v>
      </c>
      <c r="E65" s="1" t="n">
        <v>46312</v>
      </c>
      <c r="F65" t="inlineStr">
        <is>
          <t>VÄSTRA GÖTALANDS LÄN</t>
        </is>
      </c>
      <c r="G65" t="inlineStr">
        <is>
          <t>SVENLJUNGA</t>
        </is>
      </c>
      <c r="I65" t="n">
        <v>1.1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21460-2022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44706</v>
      </c>
      <c r="E66" s="1" t="n">
        <v>46312</v>
      </c>
      <c r="F66" t="inlineStr">
        <is>
          <t>VÄSTRA GÖTALANDS LÄN</t>
        </is>
      </c>
      <c r="G66" t="inlineStr">
        <is>
          <t>SVENLJUNGA</t>
        </is>
      </c>
      <c r="I66" t="n">
        <v>2.2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69101-2021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44530</v>
      </c>
      <c r="E67" s="1" t="n">
        <v>46312</v>
      </c>
      <c r="F67" t="inlineStr">
        <is>
          <t>VÄSTRA GÖTALANDS LÄN</t>
        </is>
      </c>
      <c r="G67" t="inlineStr">
        <is>
          <t>SVENLJUNGA</t>
        </is>
      </c>
      <c r="H67" t="inlineStr">
        <is>
          <t>Kommuner</t>
        </is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65974-2021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44517</v>
      </c>
      <c r="E68" s="1" t="n">
        <v>46312</v>
      </c>
      <c r="F68" t="inlineStr">
        <is>
          <t>VÄSTRA GÖTALANDS LÄN</t>
        </is>
      </c>
      <c r="G68" t="inlineStr">
        <is>
          <t>SVENLJUNGA</t>
        </is>
      </c>
      <c r="I68" t="n">
        <v>4.4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54650-2022</t>
        </is>
      </c>
      <c r="B69" t="inlineStr">
        <is>
          <t>avverkningsanmälan</t>
        </is>
      </c>
      <c r="C69" t="inlineStr">
        <is>
          <t>Avverkning för att bevara och utveckla /försöksver</t>
        </is>
      </c>
      <c r="D69" s="1" t="n">
        <v>44883</v>
      </c>
      <c r="E69" s="1" t="n">
        <v>46312</v>
      </c>
      <c r="F69" t="inlineStr">
        <is>
          <t>VÄSTRA GÖTALANDS LÄN</t>
        </is>
      </c>
      <c r="G69" t="inlineStr">
        <is>
          <t>SVENLJUNGA</t>
        </is>
      </c>
      <c r="H69" t="inlineStr">
        <is>
          <t>Sveaskog</t>
        </is>
      </c>
      <c r="I69" t="n">
        <v>3.3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51924-2022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44872</v>
      </c>
      <c r="E70" s="1" t="n">
        <v>46312</v>
      </c>
      <c r="F70" t="inlineStr">
        <is>
          <t>VÄSTRA GÖTALANDS LÄN</t>
        </is>
      </c>
      <c r="G70" t="inlineStr">
        <is>
          <t>SVENLJUNGA</t>
        </is>
      </c>
      <c r="I70" t="n">
        <v>0.7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65115-2021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44515</v>
      </c>
      <c r="E71" s="1" t="n">
        <v>46312</v>
      </c>
      <c r="F71" t="inlineStr">
        <is>
          <t>VÄSTRA GÖTALANDS LÄN</t>
        </is>
      </c>
      <c r="G71" t="inlineStr">
        <is>
          <t>SVENLJUNGA</t>
        </is>
      </c>
      <c r="I71" t="n">
        <v>1.7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65072-2021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44515</v>
      </c>
      <c r="E72" s="1" t="n">
        <v>46312</v>
      </c>
      <c r="F72" t="inlineStr">
        <is>
          <t>VÄSTRA GÖTALANDS LÄN</t>
        </is>
      </c>
      <c r="G72" t="inlineStr">
        <is>
          <t>SVENLJUNGA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13341-2022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44645</v>
      </c>
      <c r="E73" s="1" t="n">
        <v>46312</v>
      </c>
      <c r="F73" t="inlineStr">
        <is>
          <t>VÄSTRA GÖTALANDS LÄN</t>
        </is>
      </c>
      <c r="G73" t="inlineStr">
        <is>
          <t>SVENLJUNGA</t>
        </is>
      </c>
      <c r="H73" t="inlineStr">
        <is>
          <t>Kommuner</t>
        </is>
      </c>
      <c r="I73" t="n">
        <v>6.5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12419-2022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44638</v>
      </c>
      <c r="E74" s="1" t="n">
        <v>46312</v>
      </c>
      <c r="F74" t="inlineStr">
        <is>
          <t>VÄSTRA GÖTALANDS LÄN</t>
        </is>
      </c>
      <c r="G74" t="inlineStr">
        <is>
          <t>SVENLJUNGA</t>
        </is>
      </c>
      <c r="I74" t="n">
        <v>0.6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21439-2022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44706</v>
      </c>
      <c r="E75" s="1" t="n">
        <v>46312</v>
      </c>
      <c r="F75" t="inlineStr">
        <is>
          <t>VÄSTRA GÖTALANDS LÄN</t>
        </is>
      </c>
      <c r="G75" t="inlineStr">
        <is>
          <t>SVENLJUNGA</t>
        </is>
      </c>
      <c r="I75" t="n">
        <v>0.7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8956-2022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44614</v>
      </c>
      <c r="E76" s="1" t="n">
        <v>46312</v>
      </c>
      <c r="F76" t="inlineStr">
        <is>
          <t>VÄSTRA GÖTALANDS LÄN</t>
        </is>
      </c>
      <c r="G76" t="inlineStr">
        <is>
          <t>SVENLJUNGA</t>
        </is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15223-2022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44658</v>
      </c>
      <c r="E77" s="1" t="n">
        <v>46312</v>
      </c>
      <c r="F77" t="inlineStr">
        <is>
          <t>VÄSTRA GÖTALANDS LÄN</t>
        </is>
      </c>
      <c r="G77" t="inlineStr">
        <is>
          <t>SVENLJUNGA</t>
        </is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65970-2021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44517</v>
      </c>
      <c r="E78" s="1" t="n">
        <v>46312</v>
      </c>
      <c r="F78" t="inlineStr">
        <is>
          <t>VÄSTRA GÖTALANDS LÄN</t>
        </is>
      </c>
      <c r="G78" t="inlineStr">
        <is>
          <t>SVENLJUNGA</t>
        </is>
      </c>
      <c r="I78" t="n">
        <v>1.8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33679-2022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44789</v>
      </c>
      <c r="E79" s="1" t="n">
        <v>46312</v>
      </c>
      <c r="F79" t="inlineStr">
        <is>
          <t>VÄSTRA GÖTALANDS LÄN</t>
        </is>
      </c>
      <c r="G79" t="inlineStr">
        <is>
          <t>SVENLJUNGA</t>
        </is>
      </c>
      <c r="I79" t="n">
        <v>0.8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38476-2022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44813</v>
      </c>
      <c r="E80" s="1" t="n">
        <v>46312</v>
      </c>
      <c r="F80" t="inlineStr">
        <is>
          <t>VÄSTRA GÖTALANDS LÄN</t>
        </is>
      </c>
      <c r="G80" t="inlineStr">
        <is>
          <t>SVENLJUNGA</t>
        </is>
      </c>
      <c r="I80" t="n">
        <v>3.7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48590-2022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44859</v>
      </c>
      <c r="E81" s="1" t="n">
        <v>46312</v>
      </c>
      <c r="F81" t="inlineStr">
        <is>
          <t>VÄSTRA GÖTALANDS LÄN</t>
        </is>
      </c>
      <c r="G81" t="inlineStr">
        <is>
          <t>SVENLJUNGA</t>
        </is>
      </c>
      <c r="I81" t="n">
        <v>2.3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15335-2024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45400</v>
      </c>
      <c r="E82" s="1" t="n">
        <v>46312</v>
      </c>
      <c r="F82" t="inlineStr">
        <is>
          <t>VÄSTRA GÖTALANDS LÄN</t>
        </is>
      </c>
      <c r="G82" t="inlineStr">
        <is>
          <t>SVENLJUNGA</t>
        </is>
      </c>
      <c r="I82" t="n">
        <v>1.5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15336-2024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45400</v>
      </c>
      <c r="E83" s="1" t="n">
        <v>46312</v>
      </c>
      <c r="F83" t="inlineStr">
        <is>
          <t>VÄSTRA GÖTALANDS LÄN</t>
        </is>
      </c>
      <c r="G83" t="inlineStr">
        <is>
          <t>SVENLJUNGA</t>
        </is>
      </c>
      <c r="I83" t="n">
        <v>1.9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15337-2024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45400</v>
      </c>
      <c r="E84" s="1" t="n">
        <v>46312</v>
      </c>
      <c r="F84" t="inlineStr">
        <is>
          <t>VÄSTRA GÖTALANDS LÄN</t>
        </is>
      </c>
      <c r="G84" t="inlineStr">
        <is>
          <t>SVENLJUNGA</t>
        </is>
      </c>
      <c r="I84" t="n">
        <v>3.5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58480-2022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44902</v>
      </c>
      <c r="E85" s="1" t="n">
        <v>46312</v>
      </c>
      <c r="F85" t="inlineStr">
        <is>
          <t>VÄSTRA GÖTALANDS LÄN</t>
        </is>
      </c>
      <c r="G85" t="inlineStr">
        <is>
          <t>SVENLJUNGA</t>
        </is>
      </c>
      <c r="I85" t="n">
        <v>1.5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4997-2023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44958</v>
      </c>
      <c r="E86" s="1" t="n">
        <v>46312</v>
      </c>
      <c r="F86" t="inlineStr">
        <is>
          <t>VÄSTRA GÖTALANDS LÄN</t>
        </is>
      </c>
      <c r="G86" t="inlineStr">
        <is>
          <t>SVENLJUNGA</t>
        </is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9455-2024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45359</v>
      </c>
      <c r="E87" s="1" t="n">
        <v>46312</v>
      </c>
      <c r="F87" t="inlineStr">
        <is>
          <t>VÄSTRA GÖTALANDS LÄN</t>
        </is>
      </c>
      <c r="G87" t="inlineStr">
        <is>
          <t>SVENLJUNGA</t>
        </is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58922-2022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44903</v>
      </c>
      <c r="E88" s="1" t="n">
        <v>46312</v>
      </c>
      <c r="F88" t="inlineStr">
        <is>
          <t>VÄSTRA GÖTALANDS LÄN</t>
        </is>
      </c>
      <c r="G88" t="inlineStr">
        <is>
          <t>SVENLJUNGA</t>
        </is>
      </c>
      <c r="I88" t="n">
        <v>1.5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16390-2025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45751</v>
      </c>
      <c r="E89" s="1" t="n">
        <v>46312</v>
      </c>
      <c r="F89" t="inlineStr">
        <is>
          <t>VÄSTRA GÖTALANDS LÄN</t>
        </is>
      </c>
      <c r="G89" t="inlineStr">
        <is>
          <t>SVENLJUNGA</t>
        </is>
      </c>
      <c r="I89" t="n">
        <v>0.7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2441-2022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44579</v>
      </c>
      <c r="E90" s="1" t="n">
        <v>46312</v>
      </c>
      <c r="F90" t="inlineStr">
        <is>
          <t>VÄSTRA GÖTALANDS LÄN</t>
        </is>
      </c>
      <c r="G90" t="inlineStr">
        <is>
          <t>SVENLJUNGA</t>
        </is>
      </c>
      <c r="I90" t="n">
        <v>4.2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58478-2022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44902</v>
      </c>
      <c r="E91" s="1" t="n">
        <v>46312</v>
      </c>
      <c r="F91" t="inlineStr">
        <is>
          <t>VÄSTRA GÖTALANDS LÄN</t>
        </is>
      </c>
      <c r="G91" t="inlineStr">
        <is>
          <t>SVENLJUNGA</t>
        </is>
      </c>
      <c r="I91" t="n">
        <v>0.7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16770-2024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45411</v>
      </c>
      <c r="E92" s="1" t="n">
        <v>46312</v>
      </c>
      <c r="F92" t="inlineStr">
        <is>
          <t>VÄSTRA GÖTALANDS LÄN</t>
        </is>
      </c>
      <c r="G92" t="inlineStr">
        <is>
          <t>SVENLJUNGA</t>
        </is>
      </c>
      <c r="I92" t="n">
        <v>2.6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5606-2024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45334</v>
      </c>
      <c r="E93" s="1" t="n">
        <v>46312</v>
      </c>
      <c r="F93" t="inlineStr">
        <is>
          <t>VÄSTRA GÖTALANDS LÄN</t>
        </is>
      </c>
      <c r="G93" t="inlineStr">
        <is>
          <t>SVENLJUNGA</t>
        </is>
      </c>
      <c r="I93" t="n">
        <v>1.3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48937-2024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45594</v>
      </c>
      <c r="E94" s="1" t="n">
        <v>46312</v>
      </c>
      <c r="F94" t="inlineStr">
        <is>
          <t>VÄSTRA GÖTALANDS LÄN</t>
        </is>
      </c>
      <c r="G94" t="inlineStr">
        <is>
          <t>SVENLJUNGA</t>
        </is>
      </c>
      <c r="I94" t="n">
        <v>0.9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52377-2024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45609</v>
      </c>
      <c r="E95" s="1" t="n">
        <v>46312</v>
      </c>
      <c r="F95" t="inlineStr">
        <is>
          <t>VÄSTRA GÖTALANDS LÄN</t>
        </is>
      </c>
      <c r="G95" t="inlineStr">
        <is>
          <t>SVENLJUNGA</t>
        </is>
      </c>
      <c r="I95" t="n">
        <v>0.8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9469-2023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44981</v>
      </c>
      <c r="E96" s="1" t="n">
        <v>46312</v>
      </c>
      <c r="F96" t="inlineStr">
        <is>
          <t>VÄSTRA GÖTALANDS LÄN</t>
        </is>
      </c>
      <c r="G96" t="inlineStr">
        <is>
          <t>SVENLJUNGA</t>
        </is>
      </c>
      <c r="I96" t="n">
        <v>3.6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15708-2023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45021</v>
      </c>
      <c r="E97" s="1" t="n">
        <v>46312</v>
      </c>
      <c r="F97" t="inlineStr">
        <is>
          <t>VÄSTRA GÖTALANDS LÄN</t>
        </is>
      </c>
      <c r="G97" t="inlineStr">
        <is>
          <t>SVENLJUNGA</t>
        </is>
      </c>
      <c r="I97" t="n">
        <v>0.9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19699-2024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45432</v>
      </c>
      <c r="E98" s="1" t="n">
        <v>46312</v>
      </c>
      <c r="F98" t="inlineStr">
        <is>
          <t>VÄSTRA GÖTALANDS LÄN</t>
        </is>
      </c>
      <c r="G98" t="inlineStr">
        <is>
          <t>SVENLJUNGA</t>
        </is>
      </c>
      <c r="I98" t="n">
        <v>0.6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52629-2024</t>
        </is>
      </c>
      <c r="B99" t="inlineStr">
        <is>
          <t>avverkningsanmälan</t>
        </is>
      </c>
      <c r="C99" t="inlineStr">
        <is>
          <t>Avverkning för att bevara och utveckla /försöksver</t>
        </is>
      </c>
      <c r="D99" s="1" t="n">
        <v>45610</v>
      </c>
      <c r="E99" s="1" t="n">
        <v>46312</v>
      </c>
      <c r="F99" t="inlineStr">
        <is>
          <t>VÄSTRA GÖTALANDS LÄN</t>
        </is>
      </c>
      <c r="G99" t="inlineStr">
        <is>
          <t>SVENLJUNGA</t>
        </is>
      </c>
      <c r="H99" t="inlineStr">
        <is>
          <t>Sveaskog</t>
        </is>
      </c>
      <c r="I99" t="n">
        <v>1.7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24392-2022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44726</v>
      </c>
      <c r="E100" s="1" t="n">
        <v>46312</v>
      </c>
      <c r="F100" t="inlineStr">
        <is>
          <t>VÄSTRA GÖTALANDS LÄN</t>
        </is>
      </c>
      <c r="G100" t="inlineStr">
        <is>
          <t>SVENLJUNGA</t>
        </is>
      </c>
      <c r="I100" t="n">
        <v>2.3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49540-2023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45211</v>
      </c>
      <c r="E101" s="1" t="n">
        <v>46312</v>
      </c>
      <c r="F101" t="inlineStr">
        <is>
          <t>VÄSTRA GÖTALANDS LÄN</t>
        </is>
      </c>
      <c r="G101" t="inlineStr">
        <is>
          <t>SVENLJUNGA</t>
        </is>
      </c>
      <c r="I101" t="n">
        <v>0.4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9619-2024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45361</v>
      </c>
      <c r="E102" s="1" t="n">
        <v>46312</v>
      </c>
      <c r="F102" t="inlineStr">
        <is>
          <t>VÄSTRA GÖTALANDS LÄN</t>
        </is>
      </c>
      <c r="G102" t="inlineStr">
        <is>
          <t>SVENLJUNGA</t>
        </is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9844-2024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45363</v>
      </c>
      <c r="E103" s="1" t="n">
        <v>46312</v>
      </c>
      <c r="F103" t="inlineStr">
        <is>
          <t>VÄSTRA GÖTALANDS LÄN</t>
        </is>
      </c>
      <c r="G103" t="inlineStr">
        <is>
          <t>SVENLJUNGA</t>
        </is>
      </c>
      <c r="I103" t="n">
        <v>2.3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37906-2024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45544</v>
      </c>
      <c r="E104" s="1" t="n">
        <v>46312</v>
      </c>
      <c r="F104" t="inlineStr">
        <is>
          <t>VÄSTRA GÖTALANDS LÄN</t>
        </is>
      </c>
      <c r="G104" t="inlineStr">
        <is>
          <t>SVENLJUNGA</t>
        </is>
      </c>
      <c r="I104" t="n">
        <v>1.8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37908-2024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45544</v>
      </c>
      <c r="E105" s="1" t="n">
        <v>46312</v>
      </c>
      <c r="F105" t="inlineStr">
        <is>
          <t>VÄSTRA GÖTALANDS LÄN</t>
        </is>
      </c>
      <c r="G105" t="inlineStr">
        <is>
          <t>SVENLJUNGA</t>
        </is>
      </c>
      <c r="I105" t="n">
        <v>1.2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37909-2024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45544</v>
      </c>
      <c r="E106" s="1" t="n">
        <v>46312</v>
      </c>
      <c r="F106" t="inlineStr">
        <is>
          <t>VÄSTRA GÖTALANDS LÄN</t>
        </is>
      </c>
      <c r="G106" t="inlineStr">
        <is>
          <t>SVENLJUNGA</t>
        </is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61997-2023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45266</v>
      </c>
      <c r="E107" s="1" t="n">
        <v>46312</v>
      </c>
      <c r="F107" t="inlineStr">
        <is>
          <t>VÄSTRA GÖTALANDS LÄN</t>
        </is>
      </c>
      <c r="G107" t="inlineStr">
        <is>
          <t>SVENLJUNGA</t>
        </is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31779-2024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45509</v>
      </c>
      <c r="E108" s="1" t="n">
        <v>46312</v>
      </c>
      <c r="F108" t="inlineStr">
        <is>
          <t>VÄSTRA GÖTALANDS LÄN</t>
        </is>
      </c>
      <c r="G108" t="inlineStr">
        <is>
          <t>SVENLJUNGA</t>
        </is>
      </c>
      <c r="I108" t="n">
        <v>2.9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13542-2025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45736</v>
      </c>
      <c r="E109" s="1" t="n">
        <v>46312</v>
      </c>
      <c r="F109" t="inlineStr">
        <is>
          <t>VÄSTRA GÖTALANDS LÄN</t>
        </is>
      </c>
      <c r="G109" t="inlineStr">
        <is>
          <t>SVENLJUNGA</t>
        </is>
      </c>
      <c r="I109" t="n">
        <v>0.8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8447-2024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45354</v>
      </c>
      <c r="E110" s="1" t="n">
        <v>46312</v>
      </c>
      <c r="F110" t="inlineStr">
        <is>
          <t>VÄSTRA GÖTALANDS LÄN</t>
        </is>
      </c>
      <c r="G110" t="inlineStr">
        <is>
          <t>SVENLJUNGA</t>
        </is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13949-2025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45737</v>
      </c>
      <c r="E111" s="1" t="n">
        <v>46312</v>
      </c>
      <c r="F111" t="inlineStr">
        <is>
          <t>VÄSTRA GÖTALANDS LÄN</t>
        </is>
      </c>
      <c r="G111" t="inlineStr">
        <is>
          <t>SVENLJUNGA</t>
        </is>
      </c>
      <c r="I111" t="n">
        <v>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18090-2024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45420</v>
      </c>
      <c r="E112" s="1" t="n">
        <v>46312</v>
      </c>
      <c r="F112" t="inlineStr">
        <is>
          <t>VÄSTRA GÖTALANDS LÄN</t>
        </is>
      </c>
      <c r="G112" t="inlineStr">
        <is>
          <t>SVENLJUNGA</t>
        </is>
      </c>
      <c r="I112" t="n">
        <v>1.3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57185-2022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44895</v>
      </c>
      <c r="E113" s="1" t="n">
        <v>46312</v>
      </c>
      <c r="F113" t="inlineStr">
        <is>
          <t>VÄSTRA GÖTALANDS LÄN</t>
        </is>
      </c>
      <c r="G113" t="inlineStr">
        <is>
          <t>SVENLJUNGA</t>
        </is>
      </c>
      <c r="I113" t="n">
        <v>0.7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2028-2023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44937</v>
      </c>
      <c r="E114" s="1" t="n">
        <v>46312</v>
      </c>
      <c r="F114" t="inlineStr">
        <is>
          <t>VÄSTRA GÖTALANDS LÄN</t>
        </is>
      </c>
      <c r="G114" t="inlineStr">
        <is>
          <t>SVENLJUNGA</t>
        </is>
      </c>
      <c r="I114" t="n">
        <v>3.1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9416-2023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44981</v>
      </c>
      <c r="E115" s="1" t="n">
        <v>46312</v>
      </c>
      <c r="F115" t="inlineStr">
        <is>
          <t>VÄSTRA GÖTALANDS LÄN</t>
        </is>
      </c>
      <c r="G115" t="inlineStr">
        <is>
          <t>SVENLJUNGA</t>
        </is>
      </c>
      <c r="I115" t="n">
        <v>1.6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65961-2021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44517</v>
      </c>
      <c r="E116" s="1" t="n">
        <v>46312</v>
      </c>
      <c r="F116" t="inlineStr">
        <is>
          <t>VÄSTRA GÖTALANDS LÄN</t>
        </is>
      </c>
      <c r="G116" t="inlineStr">
        <is>
          <t>SVENLJUNGA</t>
        </is>
      </c>
      <c r="I116" t="n">
        <v>2.2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57855-2022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44898</v>
      </c>
      <c r="E117" s="1" t="n">
        <v>46312</v>
      </c>
      <c r="F117" t="inlineStr">
        <is>
          <t>VÄSTRA GÖTALANDS LÄN</t>
        </is>
      </c>
      <c r="G117" t="inlineStr">
        <is>
          <t>SVENLJUNGA</t>
        </is>
      </c>
      <c r="I117" t="n">
        <v>3.3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4944-2025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45688</v>
      </c>
      <c r="E118" s="1" t="n">
        <v>46312</v>
      </c>
      <c r="F118" t="inlineStr">
        <is>
          <t>VÄSTRA GÖTALANDS LÄN</t>
        </is>
      </c>
      <c r="G118" t="inlineStr">
        <is>
          <t>SVENLJUNGA</t>
        </is>
      </c>
      <c r="I118" t="n">
        <v>2.3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30477-2023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45111</v>
      </c>
      <c r="E119" s="1" t="n">
        <v>46312</v>
      </c>
      <c r="F119" t="inlineStr">
        <is>
          <t>VÄSTRA GÖTALANDS LÄN</t>
        </is>
      </c>
      <c r="G119" t="inlineStr">
        <is>
          <t>SVENLJUNGA</t>
        </is>
      </c>
      <c r="I119" t="n">
        <v>2.2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43524-2024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45569</v>
      </c>
      <c r="E120" s="1" t="n">
        <v>46312</v>
      </c>
      <c r="F120" t="inlineStr">
        <is>
          <t>VÄSTRA GÖTALANDS LÄN</t>
        </is>
      </c>
      <c r="G120" t="inlineStr">
        <is>
          <t>SVENLJUNGA</t>
        </is>
      </c>
      <c r="I120" t="n">
        <v>2.3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10710-2023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44988</v>
      </c>
      <c r="E121" s="1" t="n">
        <v>46312</v>
      </c>
      <c r="F121" t="inlineStr">
        <is>
          <t>VÄSTRA GÖTALANDS LÄN</t>
        </is>
      </c>
      <c r="G121" t="inlineStr">
        <is>
          <t>SVENLJUNGA</t>
        </is>
      </c>
      <c r="I121" t="n">
        <v>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35255-2024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45530</v>
      </c>
      <c r="E122" s="1" t="n">
        <v>46312</v>
      </c>
      <c r="F122" t="inlineStr">
        <is>
          <t>VÄSTRA GÖTALANDS LÄN</t>
        </is>
      </c>
      <c r="G122" t="inlineStr">
        <is>
          <t>SVENLJUNGA</t>
        </is>
      </c>
      <c r="I122" t="n">
        <v>0.8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57241-2024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45629</v>
      </c>
      <c r="E123" s="1" t="n">
        <v>46312</v>
      </c>
      <c r="F123" t="inlineStr">
        <is>
          <t>VÄSTRA GÖTALANDS LÄN</t>
        </is>
      </c>
      <c r="G123" t="inlineStr">
        <is>
          <t>SVENLJUNGA</t>
        </is>
      </c>
      <c r="I123" t="n">
        <v>1.4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52726-2024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45610</v>
      </c>
      <c r="E124" s="1" t="n">
        <v>46312</v>
      </c>
      <c r="F124" t="inlineStr">
        <is>
          <t>VÄSTRA GÖTALANDS LÄN</t>
        </is>
      </c>
      <c r="G124" t="inlineStr">
        <is>
          <t>SVENLJUNGA</t>
        </is>
      </c>
      <c r="I124" t="n">
        <v>12.2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61272-2024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45645</v>
      </c>
      <c r="E125" s="1" t="n">
        <v>46312</v>
      </c>
      <c r="F125" t="inlineStr">
        <is>
          <t>VÄSTRA GÖTALANDS LÄN</t>
        </is>
      </c>
      <c r="G125" t="inlineStr">
        <is>
          <t>SVENLJUNGA</t>
        </is>
      </c>
      <c r="I125" t="n">
        <v>0.5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42617-2023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45181</v>
      </c>
      <c r="E126" s="1" t="n">
        <v>46312</v>
      </c>
      <c r="F126" t="inlineStr">
        <is>
          <t>VÄSTRA GÖTALANDS LÄN</t>
        </is>
      </c>
      <c r="G126" t="inlineStr">
        <is>
          <t>SVENLJUNGA</t>
        </is>
      </c>
      <c r="I126" t="n">
        <v>1.4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30473-2023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45111</v>
      </c>
      <c r="E127" s="1" t="n">
        <v>46312</v>
      </c>
      <c r="F127" t="inlineStr">
        <is>
          <t>VÄSTRA GÖTALANDS LÄN</t>
        </is>
      </c>
      <c r="G127" t="inlineStr">
        <is>
          <t>SVENLJUNGA</t>
        </is>
      </c>
      <c r="I127" t="n">
        <v>4.4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58618-2023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45251</v>
      </c>
      <c r="E128" s="1" t="n">
        <v>46312</v>
      </c>
      <c r="F128" t="inlineStr">
        <is>
          <t>VÄSTRA GÖTALANDS LÄN</t>
        </is>
      </c>
      <c r="G128" t="inlineStr">
        <is>
          <t>SVENLJUNGA</t>
        </is>
      </c>
      <c r="I128" t="n">
        <v>2.1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11354-2025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45726</v>
      </c>
      <c r="E129" s="1" t="n">
        <v>46312</v>
      </c>
      <c r="F129" t="inlineStr">
        <is>
          <t>VÄSTRA GÖTALANDS LÄN</t>
        </is>
      </c>
      <c r="G129" t="inlineStr">
        <is>
          <t>SVENLJUNGA</t>
        </is>
      </c>
      <c r="I129" t="n">
        <v>2.4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11366-2025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45726</v>
      </c>
      <c r="E130" s="1" t="n">
        <v>46312</v>
      </c>
      <c r="F130" t="inlineStr">
        <is>
          <t>VÄSTRA GÖTALANDS LÄN</t>
        </is>
      </c>
      <c r="G130" t="inlineStr">
        <is>
          <t>SVENLJUNGA</t>
        </is>
      </c>
      <c r="I130" t="n">
        <v>1.7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41370-2024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45559</v>
      </c>
      <c r="E131" s="1" t="n">
        <v>46312</v>
      </c>
      <c r="F131" t="inlineStr">
        <is>
          <t>VÄSTRA GÖTALANDS LÄN</t>
        </is>
      </c>
      <c r="G131" t="inlineStr">
        <is>
          <t>SVENLJUNGA</t>
        </is>
      </c>
      <c r="I131" t="n">
        <v>5.6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42722-2022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44832</v>
      </c>
      <c r="E132" s="1" t="n">
        <v>46312</v>
      </c>
      <c r="F132" t="inlineStr">
        <is>
          <t>VÄSTRA GÖTALANDS LÄN</t>
        </is>
      </c>
      <c r="G132" t="inlineStr">
        <is>
          <t>SVENLJUNGA</t>
        </is>
      </c>
      <c r="I132" t="n">
        <v>3.1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4124-2022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44588</v>
      </c>
      <c r="E133" s="1" t="n">
        <v>46312</v>
      </c>
      <c r="F133" t="inlineStr">
        <is>
          <t>VÄSTRA GÖTALANDS LÄN</t>
        </is>
      </c>
      <c r="G133" t="inlineStr">
        <is>
          <t>SVENLJUNGA</t>
        </is>
      </c>
      <c r="I133" t="n">
        <v>4.4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12631-2023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45000</v>
      </c>
      <c r="E134" s="1" t="n">
        <v>46312</v>
      </c>
      <c r="F134" t="inlineStr">
        <is>
          <t>VÄSTRA GÖTALANDS LÄN</t>
        </is>
      </c>
      <c r="G134" t="inlineStr">
        <is>
          <t>SVENLJUNGA</t>
        </is>
      </c>
      <c r="I134" t="n">
        <v>3.8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28266-2023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45099</v>
      </c>
      <c r="E135" s="1" t="n">
        <v>46312</v>
      </c>
      <c r="F135" t="inlineStr">
        <is>
          <t>VÄSTRA GÖTALANDS LÄN</t>
        </is>
      </c>
      <c r="G135" t="inlineStr">
        <is>
          <t>SVENLJUNGA</t>
        </is>
      </c>
      <c r="I135" t="n">
        <v>9.800000000000001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63556-2023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45275</v>
      </c>
      <c r="E136" s="1" t="n">
        <v>46312</v>
      </c>
      <c r="F136" t="inlineStr">
        <is>
          <t>VÄSTRA GÖTALANDS LÄN</t>
        </is>
      </c>
      <c r="G136" t="inlineStr">
        <is>
          <t>SVENLJUNGA</t>
        </is>
      </c>
      <c r="I136" t="n">
        <v>1.8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50794-2023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45210</v>
      </c>
      <c r="E137" s="1" t="n">
        <v>46312</v>
      </c>
      <c r="F137" t="inlineStr">
        <is>
          <t>VÄSTRA GÖTALANDS LÄN</t>
        </is>
      </c>
      <c r="G137" t="inlineStr">
        <is>
          <t>SVENLJUNGA</t>
        </is>
      </c>
      <c r="I137" t="n">
        <v>1.8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11828-2024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45376</v>
      </c>
      <c r="E138" s="1" t="n">
        <v>46312</v>
      </c>
      <c r="F138" t="inlineStr">
        <is>
          <t>VÄSTRA GÖTALANDS LÄN</t>
        </is>
      </c>
      <c r="G138" t="inlineStr">
        <is>
          <t>SVENLJUNGA</t>
        </is>
      </c>
      <c r="I138" t="n">
        <v>2.2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11238-2025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45726</v>
      </c>
      <c r="E139" s="1" t="n">
        <v>46312</v>
      </c>
      <c r="F139" t="inlineStr">
        <is>
          <t>VÄSTRA GÖTALANDS LÄN</t>
        </is>
      </c>
      <c r="G139" t="inlineStr">
        <is>
          <t>SVENLJUNGA</t>
        </is>
      </c>
      <c r="I139" t="n">
        <v>2.8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66109-2021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44517</v>
      </c>
      <c r="E140" s="1" t="n">
        <v>46312</v>
      </c>
      <c r="F140" t="inlineStr">
        <is>
          <t>VÄSTRA GÖTALANDS LÄN</t>
        </is>
      </c>
      <c r="G140" t="inlineStr">
        <is>
          <t>SVENLJUNGA</t>
        </is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63478-2023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45274</v>
      </c>
      <c r="E141" s="1" t="n">
        <v>46312</v>
      </c>
      <c r="F141" t="inlineStr">
        <is>
          <t>VÄSTRA GÖTALANDS LÄN</t>
        </is>
      </c>
      <c r="G141" t="inlineStr">
        <is>
          <t>SVENLJUNGA</t>
        </is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15164-2022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44658</v>
      </c>
      <c r="E142" s="1" t="n">
        <v>46312</v>
      </c>
      <c r="F142" t="inlineStr">
        <is>
          <t>VÄSTRA GÖTALANDS LÄN</t>
        </is>
      </c>
      <c r="G142" t="inlineStr">
        <is>
          <t>SVENLJUNGA</t>
        </is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29554-2022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44754</v>
      </c>
      <c r="E143" s="1" t="n">
        <v>46312</v>
      </c>
      <c r="F143" t="inlineStr">
        <is>
          <t>VÄSTRA GÖTALANDS LÄN</t>
        </is>
      </c>
      <c r="G143" t="inlineStr">
        <is>
          <t>SVENLJUNGA</t>
        </is>
      </c>
      <c r="I143" t="n">
        <v>2.3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3881-2024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45322</v>
      </c>
      <c r="E144" s="1" t="n">
        <v>46312</v>
      </c>
      <c r="F144" t="inlineStr">
        <is>
          <t>VÄSTRA GÖTALANDS LÄN</t>
        </is>
      </c>
      <c r="G144" t="inlineStr">
        <is>
          <t>SVENLJUNGA</t>
        </is>
      </c>
      <c r="I144" t="n">
        <v>6.2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16754-2024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45411</v>
      </c>
      <c r="E145" s="1" t="n">
        <v>46312</v>
      </c>
      <c r="F145" t="inlineStr">
        <is>
          <t>VÄSTRA GÖTALANDS LÄN</t>
        </is>
      </c>
      <c r="G145" t="inlineStr">
        <is>
          <t>SVENLJUNGA</t>
        </is>
      </c>
      <c r="I145" t="n">
        <v>1.4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17130-2023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45034</v>
      </c>
      <c r="E146" s="1" t="n">
        <v>46312</v>
      </c>
      <c r="F146" t="inlineStr">
        <is>
          <t>VÄSTRA GÖTALANDS LÄN</t>
        </is>
      </c>
      <c r="G146" t="inlineStr">
        <is>
          <t>SVENLJUNGA</t>
        </is>
      </c>
      <c r="I146" t="n">
        <v>3.1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12477-2025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45730</v>
      </c>
      <c r="E147" s="1" t="n">
        <v>46312</v>
      </c>
      <c r="F147" t="inlineStr">
        <is>
          <t>VÄSTRA GÖTALANDS LÄN</t>
        </is>
      </c>
      <c r="G147" t="inlineStr">
        <is>
          <t>SVENLJUNGA</t>
        </is>
      </c>
      <c r="I147" t="n">
        <v>3.5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39689-2023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45167</v>
      </c>
      <c r="E148" s="1" t="n">
        <v>46312</v>
      </c>
      <c r="F148" t="inlineStr">
        <is>
          <t>VÄSTRA GÖTALANDS LÄN</t>
        </is>
      </c>
      <c r="G148" t="inlineStr">
        <is>
          <t>SVENLJUNGA</t>
        </is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45270-2023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45191</v>
      </c>
      <c r="E149" s="1" t="n">
        <v>46312</v>
      </c>
      <c r="F149" t="inlineStr">
        <is>
          <t>VÄSTRA GÖTALANDS LÄN</t>
        </is>
      </c>
      <c r="G149" t="inlineStr">
        <is>
          <t>SVENLJUNGA</t>
        </is>
      </c>
      <c r="I149" t="n">
        <v>1.5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45271-2023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45191</v>
      </c>
      <c r="E150" s="1" t="n">
        <v>46312</v>
      </c>
      <c r="F150" t="inlineStr">
        <is>
          <t>VÄSTRA GÖTALANDS LÄN</t>
        </is>
      </c>
      <c r="G150" t="inlineStr">
        <is>
          <t>SVENLJUNGA</t>
        </is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39643-2023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45167</v>
      </c>
      <c r="E151" s="1" t="n">
        <v>46312</v>
      </c>
      <c r="F151" t="inlineStr">
        <is>
          <t>VÄSTRA GÖTALANDS LÄN</t>
        </is>
      </c>
      <c r="G151" t="inlineStr">
        <is>
          <t>SVENLJUNGA</t>
        </is>
      </c>
      <c r="I151" t="n">
        <v>1.5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45395-2023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45194</v>
      </c>
      <c r="E152" s="1" t="n">
        <v>46312</v>
      </c>
      <c r="F152" t="inlineStr">
        <is>
          <t>VÄSTRA GÖTALANDS LÄN</t>
        </is>
      </c>
      <c r="G152" t="inlineStr">
        <is>
          <t>SVENLJUNGA</t>
        </is>
      </c>
      <c r="I152" t="n">
        <v>2.4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45400-2023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45194</v>
      </c>
      <c r="E153" s="1" t="n">
        <v>46312</v>
      </c>
      <c r="F153" t="inlineStr">
        <is>
          <t>VÄSTRA GÖTALANDS LÄN</t>
        </is>
      </c>
      <c r="G153" t="inlineStr">
        <is>
          <t>SVENLJUNGA</t>
        </is>
      </c>
      <c r="I153" t="n">
        <v>1.7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53746-2024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45615</v>
      </c>
      <c r="E154" s="1" t="n">
        <v>46312</v>
      </c>
      <c r="F154" t="inlineStr">
        <is>
          <t>VÄSTRA GÖTALANDS LÄN</t>
        </is>
      </c>
      <c r="G154" t="inlineStr">
        <is>
          <t>SVENLJUNGA</t>
        </is>
      </c>
      <c r="I154" t="n">
        <v>2.7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22226-2025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45785</v>
      </c>
      <c r="E155" s="1" t="n">
        <v>46312</v>
      </c>
      <c r="F155" t="inlineStr">
        <is>
          <t>VÄSTRA GÖTALANDS LÄN</t>
        </is>
      </c>
      <c r="G155" t="inlineStr">
        <is>
          <t>SVENLJUNGA</t>
        </is>
      </c>
      <c r="I155" t="n">
        <v>2.5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55547-2023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45238</v>
      </c>
      <c r="E156" s="1" t="n">
        <v>46312</v>
      </c>
      <c r="F156" t="inlineStr">
        <is>
          <t>VÄSTRA GÖTALANDS LÄN</t>
        </is>
      </c>
      <c r="G156" t="inlineStr">
        <is>
          <t>SVENLJUNGA</t>
        </is>
      </c>
      <c r="I156" t="n">
        <v>2.5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15521-2025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45747</v>
      </c>
      <c r="E157" s="1" t="n">
        <v>46312</v>
      </c>
      <c r="F157" t="inlineStr">
        <is>
          <t>VÄSTRA GÖTALANDS LÄN</t>
        </is>
      </c>
      <c r="G157" t="inlineStr">
        <is>
          <t>SVENLJUNGA</t>
        </is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41035-2024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45559</v>
      </c>
      <c r="E158" s="1" t="n">
        <v>46312</v>
      </c>
      <c r="F158" t="inlineStr">
        <is>
          <t>VÄSTRA GÖTALANDS LÄN</t>
        </is>
      </c>
      <c r="G158" t="inlineStr">
        <is>
          <t>SVENLJUNGA</t>
        </is>
      </c>
      <c r="I158" t="n">
        <v>1.1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6137-2025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45698</v>
      </c>
      <c r="E159" s="1" t="n">
        <v>46312</v>
      </c>
      <c r="F159" t="inlineStr">
        <is>
          <t>VÄSTRA GÖTALANDS LÄN</t>
        </is>
      </c>
      <c r="G159" t="inlineStr">
        <is>
          <t>SVENLJUNGA</t>
        </is>
      </c>
      <c r="I159" t="n">
        <v>2.5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13004-2025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45734</v>
      </c>
      <c r="E160" s="1" t="n">
        <v>46312</v>
      </c>
      <c r="F160" t="inlineStr">
        <is>
          <t>VÄSTRA GÖTALANDS LÄN</t>
        </is>
      </c>
      <c r="G160" t="inlineStr">
        <is>
          <t>SVENLJUNGA</t>
        </is>
      </c>
      <c r="I160" t="n">
        <v>1.4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15378-2025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45747</v>
      </c>
      <c r="E161" s="1" t="n">
        <v>46312</v>
      </c>
      <c r="F161" t="inlineStr">
        <is>
          <t>VÄSTRA GÖTALANDS LÄN</t>
        </is>
      </c>
      <c r="G161" t="inlineStr">
        <is>
          <t>SVENLJUNGA</t>
        </is>
      </c>
      <c r="I161" t="n">
        <v>2.1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13398-2025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45735</v>
      </c>
      <c r="E162" s="1" t="n">
        <v>46312</v>
      </c>
      <c r="F162" t="inlineStr">
        <is>
          <t>VÄSTRA GÖTALANDS LÄN</t>
        </is>
      </c>
      <c r="G162" t="inlineStr">
        <is>
          <t>SVENLJUNGA</t>
        </is>
      </c>
      <c r="I162" t="n">
        <v>2.3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38637-2025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45884</v>
      </c>
      <c r="E163" s="1" t="n">
        <v>46312</v>
      </c>
      <c r="F163" t="inlineStr">
        <is>
          <t>VÄSTRA GÖTALANDS LÄN</t>
        </is>
      </c>
      <c r="G163" t="inlineStr">
        <is>
          <t>SVENLJUNGA</t>
        </is>
      </c>
      <c r="I163" t="n">
        <v>4.2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24297-2025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45797</v>
      </c>
      <c r="E164" s="1" t="n">
        <v>46312</v>
      </c>
      <c r="F164" t="inlineStr">
        <is>
          <t>VÄSTRA GÖTALANDS LÄN</t>
        </is>
      </c>
      <c r="G164" t="inlineStr">
        <is>
          <t>SVENLJUNGA</t>
        </is>
      </c>
      <c r="I164" t="n">
        <v>2.4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22949-2025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45790</v>
      </c>
      <c r="E165" s="1" t="n">
        <v>46312</v>
      </c>
      <c r="F165" t="inlineStr">
        <is>
          <t>VÄSTRA GÖTALANDS LÄN</t>
        </is>
      </c>
      <c r="G165" t="inlineStr">
        <is>
          <t>SVENLJUNGA</t>
        </is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30988-2023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45113</v>
      </c>
      <c r="E166" s="1" t="n">
        <v>46312</v>
      </c>
      <c r="F166" t="inlineStr">
        <is>
          <t>VÄSTRA GÖTALANDS LÄN</t>
        </is>
      </c>
      <c r="G166" t="inlineStr">
        <is>
          <t>SVENLJUNGA</t>
        </is>
      </c>
      <c r="I166" t="n">
        <v>3.5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8704-2022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44613</v>
      </c>
      <c r="E167" s="1" t="n">
        <v>46312</v>
      </c>
      <c r="F167" t="inlineStr">
        <is>
          <t>VÄSTRA GÖTALANDS LÄN</t>
        </is>
      </c>
      <c r="G167" t="inlineStr">
        <is>
          <t>SVENLJUNGA</t>
        </is>
      </c>
      <c r="I167" t="n">
        <v>1.5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57904-2021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44486</v>
      </c>
      <c r="E168" s="1" t="n">
        <v>46312</v>
      </c>
      <c r="F168" t="inlineStr">
        <is>
          <t>VÄSTRA GÖTALANDS LÄN</t>
        </is>
      </c>
      <c r="G168" t="inlineStr">
        <is>
          <t>SVENLJUNGA</t>
        </is>
      </c>
      <c r="I168" t="n">
        <v>1.5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28271-2023</t>
        </is>
      </c>
      <c r="B169" t="inlineStr">
        <is>
          <t>avverkningsanmälan</t>
        </is>
      </c>
      <c r="C169" t="inlineStr">
        <is>
          <t>Avverkning för annat ändamål</t>
        </is>
      </c>
      <c r="D169" s="1" t="n">
        <v>45099</v>
      </c>
      <c r="E169" s="1" t="n">
        <v>46312</v>
      </c>
      <c r="F169" t="inlineStr">
        <is>
          <t>VÄSTRA GÖTALANDS LÄN</t>
        </is>
      </c>
      <c r="G169" t="inlineStr">
        <is>
          <t>SVENLJUNGA</t>
        </is>
      </c>
      <c r="H169" t="inlineStr">
        <is>
          <t>Kommuner</t>
        </is>
      </c>
      <c r="I169" t="n">
        <v>1.2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19871-2023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45054</v>
      </c>
      <c r="E170" s="1" t="n">
        <v>46312</v>
      </c>
      <c r="F170" t="inlineStr">
        <is>
          <t>VÄSTRA GÖTALANDS LÄN</t>
        </is>
      </c>
      <c r="G170" t="inlineStr">
        <is>
          <t>SVENLJUNGA</t>
        </is>
      </c>
      <c r="I170" t="n">
        <v>8.4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42362-2023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45180</v>
      </c>
      <c r="E171" s="1" t="n">
        <v>46312</v>
      </c>
      <c r="F171" t="inlineStr">
        <is>
          <t>VÄSTRA GÖTALANDS LÄN</t>
        </is>
      </c>
      <c r="G171" t="inlineStr">
        <is>
          <t>SVENLJUNGA</t>
        </is>
      </c>
      <c r="I171" t="n">
        <v>7.3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36242-2025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45867</v>
      </c>
      <c r="E172" s="1" t="n">
        <v>46312</v>
      </c>
      <c r="F172" t="inlineStr">
        <is>
          <t>VÄSTRA GÖTALANDS LÄN</t>
        </is>
      </c>
      <c r="G172" t="inlineStr">
        <is>
          <t>SVENLJUNGA</t>
        </is>
      </c>
      <c r="I172" t="n">
        <v>1.3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39009-2025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45888</v>
      </c>
      <c r="E173" s="1" t="n">
        <v>46312</v>
      </c>
      <c r="F173" t="inlineStr">
        <is>
          <t>VÄSTRA GÖTALANDS LÄN</t>
        </is>
      </c>
      <c r="G173" t="inlineStr">
        <is>
          <t>SVENLJUNGA</t>
        </is>
      </c>
      <c r="I173" t="n">
        <v>0.8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33762-2023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45120</v>
      </c>
      <c r="E174" s="1" t="n">
        <v>46312</v>
      </c>
      <c r="F174" t="inlineStr">
        <is>
          <t>VÄSTRA GÖTALANDS LÄN</t>
        </is>
      </c>
      <c r="G174" t="inlineStr">
        <is>
          <t>SVENLJUNGA</t>
        </is>
      </c>
      <c r="I174" t="n">
        <v>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49538-2023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45211</v>
      </c>
      <c r="E175" s="1" t="n">
        <v>46312</v>
      </c>
      <c r="F175" t="inlineStr">
        <is>
          <t>VÄSTRA GÖTALANDS LÄN</t>
        </is>
      </c>
      <c r="G175" t="inlineStr">
        <is>
          <t>SVENLJUNGA</t>
        </is>
      </c>
      <c r="I175" t="n">
        <v>3.9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35406-2025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45855</v>
      </c>
      <c r="E176" s="1" t="n">
        <v>46312</v>
      </c>
      <c r="F176" t="inlineStr">
        <is>
          <t>VÄSTRA GÖTALANDS LÄN</t>
        </is>
      </c>
      <c r="G176" t="inlineStr">
        <is>
          <t>SVENLJUNGA</t>
        </is>
      </c>
      <c r="I176" t="n">
        <v>3.6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58389-2022</t>
        </is>
      </c>
      <c r="B177" t="inlineStr">
        <is>
          <t>avverkningsanmälan</t>
        </is>
      </c>
      <c r="C177" t="inlineStr">
        <is>
          <t>Avverkning för annat ändamål</t>
        </is>
      </c>
      <c r="D177" s="1" t="n">
        <v>44901</v>
      </c>
      <c r="E177" s="1" t="n">
        <v>46312</v>
      </c>
      <c r="F177" t="inlineStr">
        <is>
          <t>VÄSTRA GÖTALANDS LÄN</t>
        </is>
      </c>
      <c r="G177" t="inlineStr">
        <is>
          <t>SVENLJUNGA</t>
        </is>
      </c>
      <c r="I177" t="n">
        <v>1.2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13620-2024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45390</v>
      </c>
      <c r="E178" s="1" t="n">
        <v>46312</v>
      </c>
      <c r="F178" t="inlineStr">
        <is>
          <t>VÄSTRA GÖTALANDS LÄN</t>
        </is>
      </c>
      <c r="G178" t="inlineStr">
        <is>
          <t>SVENLJUNGA</t>
        </is>
      </c>
      <c r="I178" t="n">
        <v>1.7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38645-2025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45884</v>
      </c>
      <c r="E179" s="1" t="n">
        <v>46312</v>
      </c>
      <c r="F179" t="inlineStr">
        <is>
          <t>VÄSTRA GÖTALANDS LÄN</t>
        </is>
      </c>
      <c r="G179" t="inlineStr">
        <is>
          <t>SVENLJUNGA</t>
        </is>
      </c>
      <c r="I179" t="n">
        <v>18.8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22636-2025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45789</v>
      </c>
      <c r="E180" s="1" t="n">
        <v>46312</v>
      </c>
      <c r="F180" t="inlineStr">
        <is>
          <t>VÄSTRA GÖTALANDS LÄN</t>
        </is>
      </c>
      <c r="G180" t="inlineStr">
        <is>
          <t>SVENLJUNGA</t>
        </is>
      </c>
      <c r="I180" t="n">
        <v>1.9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53770-2024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45615</v>
      </c>
      <c r="E181" s="1" t="n">
        <v>46312</v>
      </c>
      <c r="F181" t="inlineStr">
        <is>
          <t>VÄSTRA GÖTALANDS LÄN</t>
        </is>
      </c>
      <c r="G181" t="inlineStr">
        <is>
          <t>SVENLJUNGA</t>
        </is>
      </c>
      <c r="I181" t="n">
        <v>1.9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8445-2024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45354</v>
      </c>
      <c r="E182" s="1" t="n">
        <v>46312</v>
      </c>
      <c r="F182" t="inlineStr">
        <is>
          <t>VÄSTRA GÖTALANDS LÄN</t>
        </is>
      </c>
      <c r="G182" t="inlineStr">
        <is>
          <t>SVENLJUNGA</t>
        </is>
      </c>
      <c r="I182" t="n">
        <v>1.8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41076-2025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45898</v>
      </c>
      <c r="E183" s="1" t="n">
        <v>46312</v>
      </c>
      <c r="F183" t="inlineStr">
        <is>
          <t>VÄSTRA GÖTALANDS LÄN</t>
        </is>
      </c>
      <c r="G183" t="inlineStr">
        <is>
          <t>SVENLJUNGA</t>
        </is>
      </c>
      <c r="I183" t="n">
        <v>0.9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9003-2025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45713</v>
      </c>
      <c r="E184" s="1" t="n">
        <v>46312</v>
      </c>
      <c r="F184" t="inlineStr">
        <is>
          <t>VÄSTRA GÖTALANDS LÄN</t>
        </is>
      </c>
      <c r="G184" t="inlineStr">
        <is>
          <t>SVENLJUNGA</t>
        </is>
      </c>
      <c r="I184" t="n">
        <v>0.8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41089-2025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45898</v>
      </c>
      <c r="E185" s="1" t="n">
        <v>46312</v>
      </c>
      <c r="F185" t="inlineStr">
        <is>
          <t>VÄSTRA GÖTALANDS LÄN</t>
        </is>
      </c>
      <c r="G185" t="inlineStr">
        <is>
          <t>SVENLJUNGA</t>
        </is>
      </c>
      <c r="I185" t="n">
        <v>2.5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23194-2025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45791</v>
      </c>
      <c r="E186" s="1" t="n">
        <v>46312</v>
      </c>
      <c r="F186" t="inlineStr">
        <is>
          <t>VÄSTRA GÖTALANDS LÄN</t>
        </is>
      </c>
      <c r="G186" t="inlineStr">
        <is>
          <t>SVENLJUNGA</t>
        </is>
      </c>
      <c r="I186" t="n">
        <v>4.1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41082-2025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45898</v>
      </c>
      <c r="E187" s="1" t="n">
        <v>46312</v>
      </c>
      <c r="F187" t="inlineStr">
        <is>
          <t>VÄSTRA GÖTALANDS LÄN</t>
        </is>
      </c>
      <c r="G187" t="inlineStr">
        <is>
          <t>SVENLJUNGA</t>
        </is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16128-2024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45407</v>
      </c>
      <c r="E188" s="1" t="n">
        <v>46312</v>
      </c>
      <c r="F188" t="inlineStr">
        <is>
          <t>VÄSTRA GÖTALANDS LÄN</t>
        </is>
      </c>
      <c r="G188" t="inlineStr">
        <is>
          <t>SVENLJUNGA</t>
        </is>
      </c>
      <c r="H188" t="inlineStr">
        <is>
          <t>Kommuner</t>
        </is>
      </c>
      <c r="I188" t="n">
        <v>1.5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717-2024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45300</v>
      </c>
      <c r="E189" s="1" t="n">
        <v>46312</v>
      </c>
      <c r="F189" t="inlineStr">
        <is>
          <t>VÄSTRA GÖTALANDS LÄN</t>
        </is>
      </c>
      <c r="G189" t="inlineStr">
        <is>
          <t>SVENLJUNGA</t>
        </is>
      </c>
      <c r="I189" t="n">
        <v>1.2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42109-2025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45904</v>
      </c>
      <c r="E190" s="1" t="n">
        <v>46312</v>
      </c>
      <c r="F190" t="inlineStr">
        <is>
          <t>VÄSTRA GÖTALANDS LÄN</t>
        </is>
      </c>
      <c r="G190" t="inlineStr">
        <is>
          <t>SVENLJUNGA</t>
        </is>
      </c>
      <c r="I190" t="n">
        <v>3.8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37938-2023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45160</v>
      </c>
      <c r="E191" s="1" t="n">
        <v>46312</v>
      </c>
      <c r="F191" t="inlineStr">
        <is>
          <t>VÄSTRA GÖTALANDS LÄN</t>
        </is>
      </c>
      <c r="G191" t="inlineStr">
        <is>
          <t>SVENLJUNGA</t>
        </is>
      </c>
      <c r="I191" t="n">
        <v>0.9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37940-2023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45160</v>
      </c>
      <c r="E192" s="1" t="n">
        <v>46312</v>
      </c>
      <c r="F192" t="inlineStr">
        <is>
          <t>VÄSTRA GÖTALANDS LÄN</t>
        </is>
      </c>
      <c r="G192" t="inlineStr">
        <is>
          <t>SVENLJUNGA</t>
        </is>
      </c>
      <c r="I192" t="n">
        <v>0.4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43541-2025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45911</v>
      </c>
      <c r="E193" s="1" t="n">
        <v>46312</v>
      </c>
      <c r="F193" t="inlineStr">
        <is>
          <t>VÄSTRA GÖTALANDS LÄN</t>
        </is>
      </c>
      <c r="G193" t="inlineStr">
        <is>
          <t>SVENLJUNGA</t>
        </is>
      </c>
      <c r="I193" t="n">
        <v>1.4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30646-2025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45831</v>
      </c>
      <c r="E194" s="1" t="n">
        <v>46312</v>
      </c>
      <c r="F194" t="inlineStr">
        <is>
          <t>VÄSTRA GÖTALANDS LÄN</t>
        </is>
      </c>
      <c r="G194" t="inlineStr">
        <is>
          <t>SVENLJUNGA</t>
        </is>
      </c>
      <c r="I194" t="n">
        <v>1.2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43537-2025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45911</v>
      </c>
      <c r="E195" s="1" t="n">
        <v>46312</v>
      </c>
      <c r="F195" t="inlineStr">
        <is>
          <t>VÄSTRA GÖTALANDS LÄN</t>
        </is>
      </c>
      <c r="G195" t="inlineStr">
        <is>
          <t>SVENLJUNGA</t>
        </is>
      </c>
      <c r="I195" t="n">
        <v>1.2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43532-2025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45911</v>
      </c>
      <c r="E196" s="1" t="n">
        <v>46312</v>
      </c>
      <c r="F196" t="inlineStr">
        <is>
          <t>VÄSTRA GÖTALANDS LÄN</t>
        </is>
      </c>
      <c r="G196" t="inlineStr">
        <is>
          <t>SVENLJUNGA</t>
        </is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43543-2025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45911</v>
      </c>
      <c r="E197" s="1" t="n">
        <v>46312</v>
      </c>
      <c r="F197" t="inlineStr">
        <is>
          <t>VÄSTRA GÖTALANDS LÄN</t>
        </is>
      </c>
      <c r="G197" t="inlineStr">
        <is>
          <t>SVENLJUNGA</t>
        </is>
      </c>
      <c r="I197" t="n">
        <v>4.2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10894-2024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45370</v>
      </c>
      <c r="E198" s="1" t="n">
        <v>46312</v>
      </c>
      <c r="F198" t="inlineStr">
        <is>
          <t>VÄSTRA GÖTALANDS LÄN</t>
        </is>
      </c>
      <c r="G198" t="inlineStr">
        <is>
          <t>SVENLJUNGA</t>
        </is>
      </c>
      <c r="I198" t="n">
        <v>0.8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20975-2026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46142</v>
      </c>
      <c r="E199" s="1" t="n">
        <v>46312</v>
      </c>
      <c r="F199" t="inlineStr">
        <is>
          <t>VÄSTRA GÖTALANDS LÄN</t>
        </is>
      </c>
      <c r="G199" t="inlineStr">
        <is>
          <t>SVENLJUNGA</t>
        </is>
      </c>
      <c r="I199" t="n">
        <v>1.2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20979-2026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46142</v>
      </c>
      <c r="E200" s="1" t="n">
        <v>46312</v>
      </c>
      <c r="F200" t="inlineStr">
        <is>
          <t>VÄSTRA GÖTALANDS LÄN</t>
        </is>
      </c>
      <c r="G200" t="inlineStr">
        <is>
          <t>SVENLJUNGA</t>
        </is>
      </c>
      <c r="I200" t="n">
        <v>1.7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20988-2026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46142</v>
      </c>
      <c r="E201" s="1" t="n">
        <v>46312</v>
      </c>
      <c r="F201" t="inlineStr">
        <is>
          <t>VÄSTRA GÖTALANDS LÄN</t>
        </is>
      </c>
      <c r="G201" t="inlineStr">
        <is>
          <t>SVENLJUNGA</t>
        </is>
      </c>
      <c r="I201" t="n">
        <v>0.6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38678-2024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45547</v>
      </c>
      <c r="E202" s="1" t="n">
        <v>46312</v>
      </c>
      <c r="F202" t="inlineStr">
        <is>
          <t>VÄSTRA GÖTALANDS LÄN</t>
        </is>
      </c>
      <c r="G202" t="inlineStr">
        <is>
          <t>SVENLJUNGA</t>
        </is>
      </c>
      <c r="I202" t="n">
        <v>0.9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38681-2024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45547</v>
      </c>
      <c r="E203" s="1" t="n">
        <v>46312</v>
      </c>
      <c r="F203" t="inlineStr">
        <is>
          <t>VÄSTRA GÖTALANDS LÄN</t>
        </is>
      </c>
      <c r="G203" t="inlineStr">
        <is>
          <t>SVENLJUNGA</t>
        </is>
      </c>
      <c r="I203" t="n">
        <v>1.7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1389-2023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44930</v>
      </c>
      <c r="E204" s="1" t="n">
        <v>46312</v>
      </c>
      <c r="F204" t="inlineStr">
        <is>
          <t>VÄSTRA GÖTALANDS LÄN</t>
        </is>
      </c>
      <c r="G204" t="inlineStr">
        <is>
          <t>SVENLJUNGA</t>
        </is>
      </c>
      <c r="I204" t="n">
        <v>0.9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43642-2025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45911</v>
      </c>
      <c r="E205" s="1" t="n">
        <v>46312</v>
      </c>
      <c r="F205" t="inlineStr">
        <is>
          <t>VÄSTRA GÖTALANDS LÄN</t>
        </is>
      </c>
      <c r="G205" t="inlineStr">
        <is>
          <t>SVENLJUNGA</t>
        </is>
      </c>
      <c r="I205" t="n">
        <v>1.7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2979-2025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45678</v>
      </c>
      <c r="E206" s="1" t="n">
        <v>46312</v>
      </c>
      <c r="F206" t="inlineStr">
        <is>
          <t>VÄSTRA GÖTALANDS LÄN</t>
        </is>
      </c>
      <c r="G206" t="inlineStr">
        <is>
          <t>SVENLJUNGA</t>
        </is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9390-2023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44981</v>
      </c>
      <c r="E207" s="1" t="n">
        <v>46312</v>
      </c>
      <c r="F207" t="inlineStr">
        <is>
          <t>VÄSTRA GÖTALANDS LÄN</t>
        </is>
      </c>
      <c r="G207" t="inlineStr">
        <is>
          <t>SVENLJUNGA</t>
        </is>
      </c>
      <c r="I207" t="n">
        <v>2.7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21051-2026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46146</v>
      </c>
      <c r="E208" s="1" t="n">
        <v>46312</v>
      </c>
      <c r="F208" t="inlineStr">
        <is>
          <t>VÄSTRA GÖTALANDS LÄN</t>
        </is>
      </c>
      <c r="G208" t="inlineStr">
        <is>
          <t>SVENLJUNGA</t>
        </is>
      </c>
      <c r="I208" t="n">
        <v>0.8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16381-2025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45751</v>
      </c>
      <c r="E209" s="1" t="n">
        <v>46312</v>
      </c>
      <c r="F209" t="inlineStr">
        <is>
          <t>VÄSTRA GÖTALANDS LÄN</t>
        </is>
      </c>
      <c r="G209" t="inlineStr">
        <is>
          <t>SVENLJUNGA</t>
        </is>
      </c>
      <c r="I209" t="n">
        <v>6.9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29692-2023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45107</v>
      </c>
      <c r="E210" s="1" t="n">
        <v>46312</v>
      </c>
      <c r="F210" t="inlineStr">
        <is>
          <t>VÄSTRA GÖTALANDS LÄN</t>
        </is>
      </c>
      <c r="G210" t="inlineStr">
        <is>
          <t>SVENLJUNGA</t>
        </is>
      </c>
      <c r="I210" t="n">
        <v>6.8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57600-2024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45630</v>
      </c>
      <c r="E211" s="1" t="n">
        <v>46312</v>
      </c>
      <c r="F211" t="inlineStr">
        <is>
          <t>VÄSTRA GÖTALANDS LÄN</t>
        </is>
      </c>
      <c r="G211" t="inlineStr">
        <is>
          <t>SVENLJUNGA</t>
        </is>
      </c>
      <c r="I211" t="n">
        <v>1.2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44878-2025</t>
        </is>
      </c>
      <c r="B212" t="inlineStr">
        <is>
          <t>avverkningsanmälan</t>
        </is>
      </c>
      <c r="C212" t="inlineStr">
        <is>
          <t>Avverkning för annat ändamål</t>
        </is>
      </c>
      <c r="D212" s="1" t="n">
        <v>45918</v>
      </c>
      <c r="E212" s="1" t="n">
        <v>46312</v>
      </c>
      <c r="F212" t="inlineStr">
        <is>
          <t>VÄSTRA GÖTALANDS LÄN</t>
        </is>
      </c>
      <c r="G212" t="inlineStr">
        <is>
          <t>SVENLJUNGA</t>
        </is>
      </c>
      <c r="I212" t="n">
        <v>1.3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44991-2025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45918</v>
      </c>
      <c r="E213" s="1" t="n">
        <v>46312</v>
      </c>
      <c r="F213" t="inlineStr">
        <is>
          <t>VÄSTRA GÖTALANDS LÄN</t>
        </is>
      </c>
      <c r="G213" t="inlineStr">
        <is>
          <t>SVENLJUNGA</t>
        </is>
      </c>
      <c r="I213" t="n">
        <v>2.8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15482-2023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45020</v>
      </c>
      <c r="E214" s="1" t="n">
        <v>46312</v>
      </c>
      <c r="F214" t="inlineStr">
        <is>
          <t>VÄSTRA GÖTALANDS LÄN</t>
        </is>
      </c>
      <c r="G214" t="inlineStr">
        <is>
          <t>SVENLJUNGA</t>
        </is>
      </c>
      <c r="I214" t="n">
        <v>4.5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52408-2024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45609</v>
      </c>
      <c r="E215" s="1" t="n">
        <v>46312</v>
      </c>
      <c r="F215" t="inlineStr">
        <is>
          <t>VÄSTRA GÖTALANDS LÄN</t>
        </is>
      </c>
      <c r="G215" t="inlineStr">
        <is>
          <t>SVENLJUNGA</t>
        </is>
      </c>
      <c r="I215" t="n">
        <v>0.9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58308-2023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45250</v>
      </c>
      <c r="E216" s="1" t="n">
        <v>46312</v>
      </c>
      <c r="F216" t="inlineStr">
        <is>
          <t>VÄSTRA GÖTALANDS LÄN</t>
        </is>
      </c>
      <c r="G216" t="inlineStr">
        <is>
          <t>SVENLJUNGA</t>
        </is>
      </c>
      <c r="I216" t="n">
        <v>1.8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52616-2024</t>
        </is>
      </c>
      <c r="B217" t="inlineStr">
        <is>
          <t>avverkningsanmälan</t>
        </is>
      </c>
      <c r="C217" t="inlineStr">
        <is>
          <t>Avverkning för att bevara och utveckla /försöksver</t>
        </is>
      </c>
      <c r="D217" s="1" t="n">
        <v>45609</v>
      </c>
      <c r="E217" s="1" t="n">
        <v>46312</v>
      </c>
      <c r="F217" t="inlineStr">
        <is>
          <t>VÄSTRA GÖTALANDS LÄN</t>
        </is>
      </c>
      <c r="G217" t="inlineStr">
        <is>
          <t>SVENLJUNGA</t>
        </is>
      </c>
      <c r="H217" t="inlineStr">
        <is>
          <t>Sveaskog</t>
        </is>
      </c>
      <c r="I217" t="n">
        <v>1.3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21617-2026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46149</v>
      </c>
      <c r="E218" s="1" t="n">
        <v>46312</v>
      </c>
      <c r="F218" t="inlineStr">
        <is>
          <t>VÄSTRA GÖTALANDS LÄN</t>
        </is>
      </c>
      <c r="G218" t="inlineStr">
        <is>
          <t>SVENLJUNGA</t>
        </is>
      </c>
      <c r="H218" t="inlineStr">
        <is>
          <t>Sveaskog</t>
        </is>
      </c>
      <c r="I218" t="n">
        <v>2.8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21623-2026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46149</v>
      </c>
      <c r="E219" s="1" t="n">
        <v>46312</v>
      </c>
      <c r="F219" t="inlineStr">
        <is>
          <t>VÄSTRA GÖTALANDS LÄN</t>
        </is>
      </c>
      <c r="G219" t="inlineStr">
        <is>
          <t>SVENLJUNGA</t>
        </is>
      </c>
      <c r="H219" t="inlineStr">
        <is>
          <t>Sveaskog</t>
        </is>
      </c>
      <c r="I219" t="n">
        <v>2.1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8956-2023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44979</v>
      </c>
      <c r="E220" s="1" t="n">
        <v>46312</v>
      </c>
      <c r="F220" t="inlineStr">
        <is>
          <t>VÄSTRA GÖTALANDS LÄN</t>
        </is>
      </c>
      <c r="G220" t="inlineStr">
        <is>
          <t>SVENLJUNGA</t>
        </is>
      </c>
      <c r="I220" t="n">
        <v>1.2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15320-2025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45747</v>
      </c>
      <c r="E221" s="1" t="n">
        <v>46312</v>
      </c>
      <c r="F221" t="inlineStr">
        <is>
          <t>VÄSTRA GÖTALANDS LÄN</t>
        </is>
      </c>
      <c r="G221" t="inlineStr">
        <is>
          <t>SVENLJUNGA</t>
        </is>
      </c>
      <c r="I221" t="n">
        <v>4.1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21625-2026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46149</v>
      </c>
      <c r="E222" s="1" t="n">
        <v>46312</v>
      </c>
      <c r="F222" t="inlineStr">
        <is>
          <t>VÄSTRA GÖTALANDS LÄN</t>
        </is>
      </c>
      <c r="G222" t="inlineStr">
        <is>
          <t>SVENLJUNGA</t>
        </is>
      </c>
      <c r="H222" t="inlineStr">
        <is>
          <t>Sveaskog</t>
        </is>
      </c>
      <c r="I222" t="n">
        <v>4.4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26311-2023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45091</v>
      </c>
      <c r="E223" s="1" t="n">
        <v>46312</v>
      </c>
      <c r="F223" t="inlineStr">
        <is>
          <t>VÄSTRA GÖTALANDS LÄN</t>
        </is>
      </c>
      <c r="G223" t="inlineStr">
        <is>
          <t>SVENLJUNGA</t>
        </is>
      </c>
      <c r="I223" t="n">
        <v>1.1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8304-2023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44974</v>
      </c>
      <c r="E224" s="1" t="n">
        <v>46312</v>
      </c>
      <c r="F224" t="inlineStr">
        <is>
          <t>VÄSTRA GÖTALANDS LÄN</t>
        </is>
      </c>
      <c r="G224" t="inlineStr">
        <is>
          <t>SVENLJUNGA</t>
        </is>
      </c>
      <c r="I224" t="n">
        <v>2.4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21904-2026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46150</v>
      </c>
      <c r="E225" s="1" t="n">
        <v>46312</v>
      </c>
      <c r="F225" t="inlineStr">
        <is>
          <t>VÄSTRA GÖTALANDS LÄN</t>
        </is>
      </c>
      <c r="G225" t="inlineStr">
        <is>
          <t>SVENLJUNGA</t>
        </is>
      </c>
      <c r="I225" t="n">
        <v>4.4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2022-2023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44937</v>
      </c>
      <c r="E226" s="1" t="n">
        <v>46312</v>
      </c>
      <c r="F226" t="inlineStr">
        <is>
          <t>VÄSTRA GÖTALANDS LÄN</t>
        </is>
      </c>
      <c r="G226" t="inlineStr">
        <is>
          <t>SVENLJUNGA</t>
        </is>
      </c>
      <c r="I226" t="n">
        <v>3.2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58905-2024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45636</v>
      </c>
      <c r="E227" s="1" t="n">
        <v>46312</v>
      </c>
      <c r="F227" t="inlineStr">
        <is>
          <t>VÄSTRA GÖTALANDS LÄN</t>
        </is>
      </c>
      <c r="G227" t="inlineStr">
        <is>
          <t>SVENLJUNGA</t>
        </is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29808-2024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45485</v>
      </c>
      <c r="E228" s="1" t="n">
        <v>46312</v>
      </c>
      <c r="F228" t="inlineStr">
        <is>
          <t>VÄSTRA GÖTALANDS LÄN</t>
        </is>
      </c>
      <c r="G228" t="inlineStr">
        <is>
          <t>SVENLJUNGA</t>
        </is>
      </c>
      <c r="I228" t="n">
        <v>2.7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49304-2025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45938</v>
      </c>
      <c r="E229" s="1" t="n">
        <v>46312</v>
      </c>
      <c r="F229" t="inlineStr">
        <is>
          <t>VÄSTRA GÖTALANDS LÄN</t>
        </is>
      </c>
      <c r="G229" t="inlineStr">
        <is>
          <t>SVENLJUNGA</t>
        </is>
      </c>
      <c r="I229" t="n">
        <v>1.1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30103-2024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45489</v>
      </c>
      <c r="E230" s="1" t="n">
        <v>46312</v>
      </c>
      <c r="F230" t="inlineStr">
        <is>
          <t>VÄSTRA GÖTALANDS LÄN</t>
        </is>
      </c>
      <c r="G230" t="inlineStr">
        <is>
          <t>SVENLJUNGA</t>
        </is>
      </c>
      <c r="I230" t="n">
        <v>1.3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15697-2023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45021</v>
      </c>
      <c r="E231" s="1" t="n">
        <v>46312</v>
      </c>
      <c r="F231" t="inlineStr">
        <is>
          <t>VÄSTRA GÖTALANDS LÄN</t>
        </is>
      </c>
      <c r="G231" t="inlineStr">
        <is>
          <t>SVENLJUNGA</t>
        </is>
      </c>
      <c r="I231" t="n">
        <v>5.2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49301-2025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45938</v>
      </c>
      <c r="E232" s="1" t="n">
        <v>46312</v>
      </c>
      <c r="F232" t="inlineStr">
        <is>
          <t>VÄSTRA GÖTALANDS LÄN</t>
        </is>
      </c>
      <c r="G232" t="inlineStr">
        <is>
          <t>SVENLJUNGA</t>
        </is>
      </c>
      <c r="I232" t="n">
        <v>1.6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42028-2024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45561</v>
      </c>
      <c r="E233" s="1" t="n">
        <v>46312</v>
      </c>
      <c r="F233" t="inlineStr">
        <is>
          <t>VÄSTRA GÖTALANDS LÄN</t>
        </is>
      </c>
      <c r="G233" t="inlineStr">
        <is>
          <t>SVENLJUNGA</t>
        </is>
      </c>
      <c r="I233" t="n">
        <v>1.9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11963-2024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45376</v>
      </c>
      <c r="E234" s="1" t="n">
        <v>46312</v>
      </c>
      <c r="F234" t="inlineStr">
        <is>
          <t>VÄSTRA GÖTALANDS LÄN</t>
        </is>
      </c>
      <c r="G234" t="inlineStr">
        <is>
          <t>SVENLJUNGA</t>
        </is>
      </c>
      <c r="I234" t="n">
        <v>8.6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4231-2023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44953</v>
      </c>
      <c r="E235" s="1" t="n">
        <v>46312</v>
      </c>
      <c r="F235" t="inlineStr">
        <is>
          <t>VÄSTRA GÖTALANDS LÄN</t>
        </is>
      </c>
      <c r="G235" t="inlineStr">
        <is>
          <t>SVENLJUNGA</t>
        </is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2220-2023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44942</v>
      </c>
      <c r="E236" s="1" t="n">
        <v>46312</v>
      </c>
      <c r="F236" t="inlineStr">
        <is>
          <t>VÄSTRA GÖTALANDS LÄN</t>
        </is>
      </c>
      <c r="G236" t="inlineStr">
        <is>
          <t>SVENLJUNGA</t>
        </is>
      </c>
      <c r="I236" t="n">
        <v>0.7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59739-2021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44494</v>
      </c>
      <c r="E237" s="1" t="n">
        <v>46312</v>
      </c>
      <c r="F237" t="inlineStr">
        <is>
          <t>VÄSTRA GÖTALANDS LÄN</t>
        </is>
      </c>
      <c r="G237" t="inlineStr">
        <is>
          <t>SVENLJUNGA</t>
        </is>
      </c>
      <c r="I237" t="n">
        <v>3.4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7288-2023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44970</v>
      </c>
      <c r="E238" s="1" t="n">
        <v>46312</v>
      </c>
      <c r="F238" t="inlineStr">
        <is>
          <t>VÄSTRA GÖTALANDS LÄN</t>
        </is>
      </c>
      <c r="G238" t="inlineStr">
        <is>
          <t>SVENLJUNGA</t>
        </is>
      </c>
      <c r="I238" t="n">
        <v>1.8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61275-2024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45645</v>
      </c>
      <c r="E239" s="1" t="n">
        <v>46312</v>
      </c>
      <c r="F239" t="inlineStr">
        <is>
          <t>VÄSTRA GÖTALANDS LÄN</t>
        </is>
      </c>
      <c r="G239" t="inlineStr">
        <is>
          <t>SVENLJUNGA</t>
        </is>
      </c>
      <c r="I239" t="n">
        <v>0.6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60561-2024</t>
        </is>
      </c>
      <c r="B240" t="inlineStr">
        <is>
          <t>avverkningsanmälan</t>
        </is>
      </c>
      <c r="C240" t="inlineStr">
        <is>
          <t>Avverkning för annat ändamål</t>
        </is>
      </c>
      <c r="D240" s="1" t="n">
        <v>45644</v>
      </c>
      <c r="E240" s="1" t="n">
        <v>46312</v>
      </c>
      <c r="F240" t="inlineStr">
        <is>
          <t>VÄSTRA GÖTALANDS LÄN</t>
        </is>
      </c>
      <c r="G240" t="inlineStr">
        <is>
          <t>SVENLJUNGA</t>
        </is>
      </c>
      <c r="I240" t="n">
        <v>1.3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51843-2025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45952</v>
      </c>
      <c r="E241" s="1" t="n">
        <v>46312</v>
      </c>
      <c r="F241" t="inlineStr">
        <is>
          <t>VÄSTRA GÖTALANDS LÄN</t>
        </is>
      </c>
      <c r="G241" t="inlineStr">
        <is>
          <t>SVENLJUNGA</t>
        </is>
      </c>
      <c r="I241" t="n">
        <v>3.3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43885-2024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45572</v>
      </c>
      <c r="E242" s="1" t="n">
        <v>46312</v>
      </c>
      <c r="F242" t="inlineStr">
        <is>
          <t>VÄSTRA GÖTALANDS LÄN</t>
        </is>
      </c>
      <c r="G242" t="inlineStr">
        <is>
          <t>SVENLJUNGA</t>
        </is>
      </c>
      <c r="I242" t="n">
        <v>1.8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52378-2025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45953</v>
      </c>
      <c r="E243" s="1" t="n">
        <v>46312</v>
      </c>
      <c r="F243" t="inlineStr">
        <is>
          <t>VÄSTRA GÖTALANDS LÄN</t>
        </is>
      </c>
      <c r="G243" t="inlineStr">
        <is>
          <t>SVENLJUNGA</t>
        </is>
      </c>
      <c r="I243" t="n">
        <v>1.1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59154-2025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45988</v>
      </c>
      <c r="E244" s="1" t="n">
        <v>46312</v>
      </c>
      <c r="F244" t="inlineStr">
        <is>
          <t>VÄSTRA GÖTALANDS LÄN</t>
        </is>
      </c>
      <c r="G244" t="inlineStr">
        <is>
          <t>SVENLJUNGA</t>
        </is>
      </c>
      <c r="I244" t="n">
        <v>5.5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9532-2022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44617</v>
      </c>
      <c r="E245" s="1" t="n">
        <v>46312</v>
      </c>
      <c r="F245" t="inlineStr">
        <is>
          <t>VÄSTRA GÖTALANDS LÄN</t>
        </is>
      </c>
      <c r="G245" t="inlineStr">
        <is>
          <t>SVENLJUNGA</t>
        </is>
      </c>
      <c r="I245" t="n">
        <v>1.2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52372-2025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45953</v>
      </c>
      <c r="E246" s="1" t="n">
        <v>46312</v>
      </c>
      <c r="F246" t="inlineStr">
        <is>
          <t>VÄSTRA GÖTALANDS LÄN</t>
        </is>
      </c>
      <c r="G246" t="inlineStr">
        <is>
          <t>SVENLJUNGA</t>
        </is>
      </c>
      <c r="I246" t="n">
        <v>2.3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52373-2025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45953</v>
      </c>
      <c r="E247" s="1" t="n">
        <v>46312</v>
      </c>
      <c r="F247" t="inlineStr">
        <is>
          <t>VÄSTRA GÖTALANDS LÄN</t>
        </is>
      </c>
      <c r="G247" t="inlineStr">
        <is>
          <t>SVENLJUNGA</t>
        </is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42901-2024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45566</v>
      </c>
      <c r="E248" s="1" t="n">
        <v>46312</v>
      </c>
      <c r="F248" t="inlineStr">
        <is>
          <t>VÄSTRA GÖTALANDS LÄN</t>
        </is>
      </c>
      <c r="G248" t="inlineStr">
        <is>
          <t>SVENLJUNGA</t>
        </is>
      </c>
      <c r="I248" t="n">
        <v>5.4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43614-2022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44837</v>
      </c>
      <c r="E249" s="1" t="n">
        <v>46312</v>
      </c>
      <c r="F249" t="inlineStr">
        <is>
          <t>VÄSTRA GÖTALANDS LÄN</t>
        </is>
      </c>
      <c r="G249" t="inlineStr">
        <is>
          <t>SVENLJUNGA</t>
        </is>
      </c>
      <c r="I249" t="n">
        <v>2.8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13966-2025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45738</v>
      </c>
      <c r="E250" s="1" t="n">
        <v>46312</v>
      </c>
      <c r="F250" t="inlineStr">
        <is>
          <t>VÄSTRA GÖTALANDS LÄN</t>
        </is>
      </c>
      <c r="G250" t="inlineStr">
        <is>
          <t>SVENLJUNGA</t>
        </is>
      </c>
      <c r="I250" t="n">
        <v>1.2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61094-2022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44915</v>
      </c>
      <c r="E251" s="1" t="n">
        <v>46312</v>
      </c>
      <c r="F251" t="inlineStr">
        <is>
          <t>VÄSTRA GÖTALANDS LÄN</t>
        </is>
      </c>
      <c r="G251" t="inlineStr">
        <is>
          <t>SVENLJUNGA</t>
        </is>
      </c>
      <c r="I251" t="n">
        <v>5.9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9361-2022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44616</v>
      </c>
      <c r="E252" s="1" t="n">
        <v>46312</v>
      </c>
      <c r="F252" t="inlineStr">
        <is>
          <t>VÄSTRA GÖTALANDS LÄN</t>
        </is>
      </c>
      <c r="G252" t="inlineStr">
        <is>
          <t>SVENLJUNGA</t>
        </is>
      </c>
      <c r="I252" t="n">
        <v>1.5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48758-2022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44859</v>
      </c>
      <c r="E253" s="1" t="n">
        <v>46312</v>
      </c>
      <c r="F253" t="inlineStr">
        <is>
          <t>VÄSTRA GÖTALANDS LÄN</t>
        </is>
      </c>
      <c r="G253" t="inlineStr">
        <is>
          <t>SVENLJUNGA</t>
        </is>
      </c>
      <c r="I253" t="n">
        <v>1.3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8962-2022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44614</v>
      </c>
      <c r="E254" s="1" t="n">
        <v>46312</v>
      </c>
      <c r="F254" t="inlineStr">
        <is>
          <t>VÄSTRA GÖTALANDS LÄN</t>
        </is>
      </c>
      <c r="G254" t="inlineStr">
        <is>
          <t>SVENLJUNGA</t>
        </is>
      </c>
      <c r="I254" t="n">
        <v>1.2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53482-2025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45959</v>
      </c>
      <c r="E255" s="1" t="n">
        <v>46312</v>
      </c>
      <c r="F255" t="inlineStr">
        <is>
          <t>VÄSTRA GÖTALANDS LÄN</t>
        </is>
      </c>
      <c r="G255" t="inlineStr">
        <is>
          <t>SVENLJUNGA</t>
        </is>
      </c>
      <c r="I255" t="n">
        <v>1.3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35034-2022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44797</v>
      </c>
      <c r="E256" s="1" t="n">
        <v>46312</v>
      </c>
      <c r="F256" t="inlineStr">
        <is>
          <t>VÄSTRA GÖTALANDS LÄN</t>
        </is>
      </c>
      <c r="G256" t="inlineStr">
        <is>
          <t>SVENLJUNGA</t>
        </is>
      </c>
      <c r="I256" t="n">
        <v>1.4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54199-2025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45964</v>
      </c>
      <c r="E257" s="1" t="n">
        <v>46312</v>
      </c>
      <c r="F257" t="inlineStr">
        <is>
          <t>VÄSTRA GÖTALANDS LÄN</t>
        </is>
      </c>
      <c r="G257" t="inlineStr">
        <is>
          <t>SVENLJUNGA</t>
        </is>
      </c>
      <c r="I257" t="n">
        <v>1.8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54200-2025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45964</v>
      </c>
      <c r="E258" s="1" t="n">
        <v>46312</v>
      </c>
      <c r="F258" t="inlineStr">
        <is>
          <t>VÄSTRA GÖTALANDS LÄN</t>
        </is>
      </c>
      <c r="G258" t="inlineStr">
        <is>
          <t>SVENLJUNGA</t>
        </is>
      </c>
      <c r="I258" t="n">
        <v>1.9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7289-2023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44970</v>
      </c>
      <c r="E259" s="1" t="n">
        <v>46312</v>
      </c>
      <c r="F259" t="inlineStr">
        <is>
          <t>VÄSTRA GÖTALANDS LÄN</t>
        </is>
      </c>
      <c r="G259" t="inlineStr">
        <is>
          <t>SVENLJUNGA</t>
        </is>
      </c>
      <c r="I259" t="n">
        <v>3.7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42052-2025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45902</v>
      </c>
      <c r="E260" s="1" t="n">
        <v>46312</v>
      </c>
      <c r="F260" t="inlineStr">
        <is>
          <t>VÄSTRA GÖTALANDS LÄN</t>
        </is>
      </c>
      <c r="G260" t="inlineStr">
        <is>
          <t>SVENLJUNGA</t>
        </is>
      </c>
      <c r="I260" t="n">
        <v>1.2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16385-2025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45751</v>
      </c>
      <c r="E261" s="1" t="n">
        <v>46312</v>
      </c>
      <c r="F261" t="inlineStr">
        <is>
          <t>VÄSTRA GÖTALANDS LÄN</t>
        </is>
      </c>
      <c r="G261" t="inlineStr">
        <is>
          <t>SVENLJUNGA</t>
        </is>
      </c>
      <c r="I261" t="n">
        <v>3.1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18663-2025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45763</v>
      </c>
      <c r="E262" s="1" t="n">
        <v>46312</v>
      </c>
      <c r="F262" t="inlineStr">
        <is>
          <t>VÄSTRA GÖTALANDS LÄN</t>
        </is>
      </c>
      <c r="G262" t="inlineStr">
        <is>
          <t>SVENLJUNGA</t>
        </is>
      </c>
      <c r="I262" t="n">
        <v>0.7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57615-2022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44897</v>
      </c>
      <c r="E263" s="1" t="n">
        <v>46312</v>
      </c>
      <c r="F263" t="inlineStr">
        <is>
          <t>VÄSTRA GÖTALANDS LÄN</t>
        </is>
      </c>
      <c r="G263" t="inlineStr">
        <is>
          <t>SVENLJUNGA</t>
        </is>
      </c>
      <c r="I263" t="n">
        <v>1.4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55144-2025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45968</v>
      </c>
      <c r="E264" s="1" t="n">
        <v>46312</v>
      </c>
      <c r="F264" t="inlineStr">
        <is>
          <t>VÄSTRA GÖTALANDS LÄN</t>
        </is>
      </c>
      <c r="G264" t="inlineStr">
        <is>
          <t>SVENLJUNGA</t>
        </is>
      </c>
      <c r="I264" t="n">
        <v>3.5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23545-2026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46163</v>
      </c>
      <c r="E265" s="1" t="n">
        <v>46312</v>
      </c>
      <c r="F265" t="inlineStr">
        <is>
          <t>VÄSTRA GÖTALANDS LÄN</t>
        </is>
      </c>
      <c r="G265" t="inlineStr">
        <is>
          <t>SVENLJUNGA</t>
        </is>
      </c>
      <c r="I265" t="n">
        <v>2.6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23499-2026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46163</v>
      </c>
      <c r="E266" s="1" t="n">
        <v>46312</v>
      </c>
      <c r="F266" t="inlineStr">
        <is>
          <t>VÄSTRA GÖTALANDS LÄN</t>
        </is>
      </c>
      <c r="G266" t="inlineStr">
        <is>
          <t>SVENLJUNGA</t>
        </is>
      </c>
      <c r="I266" t="n">
        <v>2.3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37109-2022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44806</v>
      </c>
      <c r="E267" s="1" t="n">
        <v>46312</v>
      </c>
      <c r="F267" t="inlineStr">
        <is>
          <t>VÄSTRA GÖTALANDS LÄN</t>
        </is>
      </c>
      <c r="G267" t="inlineStr">
        <is>
          <t>SVENLJUNGA</t>
        </is>
      </c>
      <c r="I267" t="n">
        <v>1.8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57169-2025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45979</v>
      </c>
      <c r="E268" s="1" t="n">
        <v>46312</v>
      </c>
      <c r="F268" t="inlineStr">
        <is>
          <t>VÄSTRA GÖTALANDS LÄN</t>
        </is>
      </c>
      <c r="G268" t="inlineStr">
        <is>
          <t>SVENLJUNGA</t>
        </is>
      </c>
      <c r="I268" t="n">
        <v>1.3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23777-2026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46164</v>
      </c>
      <c r="E269" s="1" t="n">
        <v>46312</v>
      </c>
      <c r="F269" t="inlineStr">
        <is>
          <t>VÄSTRA GÖTALANDS LÄN</t>
        </is>
      </c>
      <c r="G269" t="inlineStr">
        <is>
          <t>SVENLJUNGA</t>
        </is>
      </c>
      <c r="I269" t="n">
        <v>1.6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57555-2025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45980</v>
      </c>
      <c r="E270" s="1" t="n">
        <v>46312</v>
      </c>
      <c r="F270" t="inlineStr">
        <is>
          <t>VÄSTRA GÖTALANDS LÄN</t>
        </is>
      </c>
      <c r="G270" t="inlineStr">
        <is>
          <t>SVENLJUNGA</t>
        </is>
      </c>
      <c r="I270" t="n">
        <v>1.4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13161-2023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45002</v>
      </c>
      <c r="E271" s="1" t="n">
        <v>46312</v>
      </c>
      <c r="F271" t="inlineStr">
        <is>
          <t>VÄSTRA GÖTALANDS LÄN</t>
        </is>
      </c>
      <c r="G271" t="inlineStr">
        <is>
          <t>SVENLJUNGA</t>
        </is>
      </c>
      <c r="I271" t="n">
        <v>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58033-2025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45982</v>
      </c>
      <c r="E272" s="1" t="n">
        <v>46312</v>
      </c>
      <c r="F272" t="inlineStr">
        <is>
          <t>VÄSTRA GÖTALANDS LÄN</t>
        </is>
      </c>
      <c r="G272" t="inlineStr">
        <is>
          <t>SVENLJUNGA</t>
        </is>
      </c>
      <c r="I272" t="n">
        <v>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58341-2023</t>
        </is>
      </c>
      <c r="B273" t="inlineStr">
        <is>
          <t>avverkningsanmälan</t>
        </is>
      </c>
      <c r="C273" t="inlineStr">
        <is>
          <t>Avverkning för annat ändamål</t>
        </is>
      </c>
      <c r="D273" s="1" t="n">
        <v>45250</v>
      </c>
      <c r="E273" s="1" t="n">
        <v>46312</v>
      </c>
      <c r="F273" t="inlineStr">
        <is>
          <t>VÄSTRA GÖTALANDS LÄN</t>
        </is>
      </c>
      <c r="G273" t="inlineStr">
        <is>
          <t>SVENLJUNGA</t>
        </is>
      </c>
      <c r="I273" t="n">
        <v>3.3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58290-2025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45985</v>
      </c>
      <c r="E274" s="1" t="n">
        <v>46312</v>
      </c>
      <c r="F274" t="inlineStr">
        <is>
          <t>VÄSTRA GÖTALANDS LÄN</t>
        </is>
      </c>
      <c r="G274" t="inlineStr">
        <is>
          <t>SVENLJUNGA</t>
        </is>
      </c>
      <c r="I274" t="n">
        <v>1.6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134-2022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44564</v>
      </c>
      <c r="E275" s="1" t="n">
        <v>46312</v>
      </c>
      <c r="F275" t="inlineStr">
        <is>
          <t>VÄSTRA GÖTALANDS LÄN</t>
        </is>
      </c>
      <c r="G275" t="inlineStr">
        <is>
          <t>SVENLJUNGA</t>
        </is>
      </c>
      <c r="I275" t="n">
        <v>8.199999999999999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49101-2022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44860</v>
      </c>
      <c r="E276" s="1" t="n">
        <v>46312</v>
      </c>
      <c r="F276" t="inlineStr">
        <is>
          <t>VÄSTRA GÖTALANDS LÄN</t>
        </is>
      </c>
      <c r="G276" t="inlineStr">
        <is>
          <t>SVENLJUNGA</t>
        </is>
      </c>
      <c r="I276" t="n">
        <v>2.4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60033-2025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45993</v>
      </c>
      <c r="E277" s="1" t="n">
        <v>46312</v>
      </c>
      <c r="F277" t="inlineStr">
        <is>
          <t>VÄSTRA GÖTALANDS LÄN</t>
        </is>
      </c>
      <c r="G277" t="inlineStr">
        <is>
          <t>SVENLJUNGA</t>
        </is>
      </c>
      <c r="I277" t="n">
        <v>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19615-2024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45432</v>
      </c>
      <c r="E278" s="1" t="n">
        <v>46312</v>
      </c>
      <c r="F278" t="inlineStr">
        <is>
          <t>VÄSTRA GÖTALANDS LÄN</t>
        </is>
      </c>
      <c r="G278" t="inlineStr">
        <is>
          <t>SVENLJUNGA</t>
        </is>
      </c>
      <c r="I278" t="n">
        <v>0.7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24402-2026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46169</v>
      </c>
      <c r="E279" s="1" t="n">
        <v>46312</v>
      </c>
      <c r="F279" t="inlineStr">
        <is>
          <t>VÄSTRA GÖTALANDS LÄN</t>
        </is>
      </c>
      <c r="G279" t="inlineStr">
        <is>
          <t>SVENLJUNGA</t>
        </is>
      </c>
      <c r="I279" t="n">
        <v>1.4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24237-2026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46168</v>
      </c>
      <c r="E280" s="1" t="n">
        <v>46312</v>
      </c>
      <c r="F280" t="inlineStr">
        <is>
          <t>VÄSTRA GÖTALANDS LÄN</t>
        </is>
      </c>
      <c r="G280" t="inlineStr">
        <is>
          <t>SVENLJUNGA</t>
        </is>
      </c>
      <c r="I280" t="n">
        <v>0.8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60472-2025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45995</v>
      </c>
      <c r="E281" s="1" t="n">
        <v>46312</v>
      </c>
      <c r="F281" t="inlineStr">
        <is>
          <t>VÄSTRA GÖTALANDS LÄN</t>
        </is>
      </c>
      <c r="G281" t="inlineStr">
        <is>
          <t>SVENLJUNGA</t>
        </is>
      </c>
      <c r="I281" t="n">
        <v>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51840-2025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45952</v>
      </c>
      <c r="E282" s="1" t="n">
        <v>46312</v>
      </c>
      <c r="F282" t="inlineStr">
        <is>
          <t>VÄSTRA GÖTALANDS LÄN</t>
        </is>
      </c>
      <c r="G282" t="inlineStr">
        <is>
          <t>SVENLJUNGA</t>
        </is>
      </c>
      <c r="I282" t="n">
        <v>3.3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36103-2024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45533</v>
      </c>
      <c r="E283" s="1" t="n">
        <v>46312</v>
      </c>
      <c r="F283" t="inlineStr">
        <is>
          <t>VÄSTRA GÖTALANDS LÄN</t>
        </is>
      </c>
      <c r="G283" t="inlineStr">
        <is>
          <t>SVENLJUNGA</t>
        </is>
      </c>
      <c r="I283" t="n">
        <v>0.6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24404-2026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46169</v>
      </c>
      <c r="E284" s="1" t="n">
        <v>46312</v>
      </c>
      <c r="F284" t="inlineStr">
        <is>
          <t>VÄSTRA GÖTALANDS LÄN</t>
        </is>
      </c>
      <c r="G284" t="inlineStr">
        <is>
          <t>SVENLJUNGA</t>
        </is>
      </c>
      <c r="I284" t="n">
        <v>0.7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61337-2025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46001</v>
      </c>
      <c r="E285" s="1" t="n">
        <v>46312</v>
      </c>
      <c r="F285" t="inlineStr">
        <is>
          <t>VÄSTRA GÖTALANDS LÄN</t>
        </is>
      </c>
      <c r="G285" t="inlineStr">
        <is>
          <t>SVENLJUNGA</t>
        </is>
      </c>
      <c r="I285" t="n">
        <v>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61340-2025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46001</v>
      </c>
      <c r="E286" s="1" t="n">
        <v>46312</v>
      </c>
      <c r="F286" t="inlineStr">
        <is>
          <t>VÄSTRA GÖTALANDS LÄN</t>
        </is>
      </c>
      <c r="G286" t="inlineStr">
        <is>
          <t>SVENLJUNGA</t>
        </is>
      </c>
      <c r="I286" t="n">
        <v>3.4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13139-2024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45386</v>
      </c>
      <c r="E287" s="1" t="n">
        <v>46312</v>
      </c>
      <c r="F287" t="inlineStr">
        <is>
          <t>VÄSTRA GÖTALANDS LÄN</t>
        </is>
      </c>
      <c r="G287" t="inlineStr">
        <is>
          <t>SVENLJUNGA</t>
        </is>
      </c>
      <c r="I287" t="n">
        <v>1.4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9471-2023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44981</v>
      </c>
      <c r="E288" s="1" t="n">
        <v>46312</v>
      </c>
      <c r="F288" t="inlineStr">
        <is>
          <t>VÄSTRA GÖTALANDS LÄN</t>
        </is>
      </c>
      <c r="G288" t="inlineStr">
        <is>
          <t>SVENLJUNGA</t>
        </is>
      </c>
      <c r="I288" t="n">
        <v>5.3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61573-2025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46002</v>
      </c>
      <c r="E289" s="1" t="n">
        <v>46312</v>
      </c>
      <c r="F289" t="inlineStr">
        <is>
          <t>VÄSTRA GÖTALANDS LÄN</t>
        </is>
      </c>
      <c r="G289" t="inlineStr">
        <is>
          <t>SVENLJUNGA</t>
        </is>
      </c>
      <c r="I289" t="n">
        <v>1.7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61577-2025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46002</v>
      </c>
      <c r="E290" s="1" t="n">
        <v>46312</v>
      </c>
      <c r="F290" t="inlineStr">
        <is>
          <t>VÄSTRA GÖTALANDS LÄN</t>
        </is>
      </c>
      <c r="G290" t="inlineStr">
        <is>
          <t>SVENLJUNGA</t>
        </is>
      </c>
      <c r="I290" t="n">
        <v>1.8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61569-2025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46002</v>
      </c>
      <c r="E291" s="1" t="n">
        <v>46312</v>
      </c>
      <c r="F291" t="inlineStr">
        <is>
          <t>VÄSTRA GÖTALANDS LÄN</t>
        </is>
      </c>
      <c r="G291" t="inlineStr">
        <is>
          <t>SVENLJUNGA</t>
        </is>
      </c>
      <c r="I291" t="n">
        <v>1.1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24824-2026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46174</v>
      </c>
      <c r="E292" s="1" t="n">
        <v>46312</v>
      </c>
      <c r="F292" t="inlineStr">
        <is>
          <t>VÄSTRA GÖTALANDS LÄN</t>
        </is>
      </c>
      <c r="G292" t="inlineStr">
        <is>
          <t>SVENLJUNGA</t>
        </is>
      </c>
      <c r="I292" t="n">
        <v>2.3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24837-2026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46174</v>
      </c>
      <c r="E293" s="1" t="n">
        <v>46312</v>
      </c>
      <c r="F293" t="inlineStr">
        <is>
          <t>VÄSTRA GÖTALANDS LÄN</t>
        </is>
      </c>
      <c r="G293" t="inlineStr">
        <is>
          <t>SVENLJUNGA</t>
        </is>
      </c>
      <c r="I293" t="n">
        <v>0.6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62332-2025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46006</v>
      </c>
      <c r="E294" s="1" t="n">
        <v>46312</v>
      </c>
      <c r="F294" t="inlineStr">
        <is>
          <t>VÄSTRA GÖTALANDS LÄN</t>
        </is>
      </c>
      <c r="G294" t="inlineStr">
        <is>
          <t>SVENLJUNGA</t>
        </is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22201-2025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45785</v>
      </c>
      <c r="E295" s="1" t="n">
        <v>46312</v>
      </c>
      <c r="F295" t="inlineStr">
        <is>
          <t>VÄSTRA GÖTALANDS LÄN</t>
        </is>
      </c>
      <c r="G295" t="inlineStr">
        <is>
          <t>SVENLJUNGA</t>
        </is>
      </c>
      <c r="I295" t="n">
        <v>2.5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62333-2025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46006</v>
      </c>
      <c r="E296" s="1" t="n">
        <v>46312</v>
      </c>
      <c r="F296" t="inlineStr">
        <is>
          <t>VÄSTRA GÖTALANDS LÄN</t>
        </is>
      </c>
      <c r="G296" t="inlineStr">
        <is>
          <t>SVENLJUNGA</t>
        </is>
      </c>
      <c r="I296" t="n">
        <v>0.8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62331-2025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46006</v>
      </c>
      <c r="E297" s="1" t="n">
        <v>46312</v>
      </c>
      <c r="F297" t="inlineStr">
        <is>
          <t>VÄSTRA GÖTALANDS LÄN</t>
        </is>
      </c>
      <c r="G297" t="inlineStr">
        <is>
          <t>SVENLJUNGA</t>
        </is>
      </c>
      <c r="I297" t="n">
        <v>1.3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62843-2025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46008</v>
      </c>
      <c r="E298" s="1" t="n">
        <v>46312</v>
      </c>
      <c r="F298" t="inlineStr">
        <is>
          <t>VÄSTRA GÖTALANDS LÄN</t>
        </is>
      </c>
      <c r="G298" t="inlineStr">
        <is>
          <t>SVENLJUNGA</t>
        </is>
      </c>
      <c r="I298" t="n">
        <v>3.3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63052-2025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46009</v>
      </c>
      <c r="E299" s="1" t="n">
        <v>46312</v>
      </c>
      <c r="F299" t="inlineStr">
        <is>
          <t>VÄSTRA GÖTALANDS LÄN</t>
        </is>
      </c>
      <c r="G299" t="inlineStr">
        <is>
          <t>SVENLJUNGA</t>
        </is>
      </c>
      <c r="I299" t="n">
        <v>0.9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25225-2026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46175</v>
      </c>
      <c r="E300" s="1" t="n">
        <v>46312</v>
      </c>
      <c r="F300" t="inlineStr">
        <is>
          <t>VÄSTRA GÖTALANDS LÄN</t>
        </is>
      </c>
      <c r="G300" t="inlineStr">
        <is>
          <t>SVENLJUNGA</t>
        </is>
      </c>
      <c r="I300" t="n">
        <v>0.4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6013-2023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44964</v>
      </c>
      <c r="E301" s="1" t="n">
        <v>46312</v>
      </c>
      <c r="F301" t="inlineStr">
        <is>
          <t>VÄSTRA GÖTALANDS LÄN</t>
        </is>
      </c>
      <c r="G301" t="inlineStr">
        <is>
          <t>SVENLJUNGA</t>
        </is>
      </c>
      <c r="I301" t="n">
        <v>1.1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31453-2023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45114</v>
      </c>
      <c r="E302" s="1" t="n">
        <v>46312</v>
      </c>
      <c r="F302" t="inlineStr">
        <is>
          <t>VÄSTRA GÖTALANDS LÄN</t>
        </is>
      </c>
      <c r="G302" t="inlineStr">
        <is>
          <t>SVENLJUNGA</t>
        </is>
      </c>
      <c r="I302" t="n">
        <v>1.6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8568-2025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45709</v>
      </c>
      <c r="E303" s="1" t="n">
        <v>46312</v>
      </c>
      <c r="F303" t="inlineStr">
        <is>
          <t>VÄSTRA GÖTALANDS LÄN</t>
        </is>
      </c>
      <c r="G303" t="inlineStr">
        <is>
          <t>SVENLJUNGA</t>
        </is>
      </c>
      <c r="I303" t="n">
        <v>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5539-2025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45693</v>
      </c>
      <c r="E304" s="1" t="n">
        <v>46312</v>
      </c>
      <c r="F304" t="inlineStr">
        <is>
          <t>VÄSTRA GÖTALANDS LÄN</t>
        </is>
      </c>
      <c r="G304" t="inlineStr">
        <is>
          <t>SVENLJUNGA</t>
        </is>
      </c>
      <c r="I304" t="n">
        <v>0.9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31807-2025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45834</v>
      </c>
      <c r="E305" s="1" t="n">
        <v>46312</v>
      </c>
      <c r="F305" t="inlineStr">
        <is>
          <t>VÄSTRA GÖTALANDS LÄN</t>
        </is>
      </c>
      <c r="G305" t="inlineStr">
        <is>
          <t>SVENLJUNGA</t>
        </is>
      </c>
      <c r="I305" t="n">
        <v>1.4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6863-2025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45701</v>
      </c>
      <c r="E306" s="1" t="n">
        <v>46312</v>
      </c>
      <c r="F306" t="inlineStr">
        <is>
          <t>VÄSTRA GÖTALANDS LÄN</t>
        </is>
      </c>
      <c r="G306" t="inlineStr">
        <is>
          <t>SVENLJUNGA</t>
        </is>
      </c>
      <c r="I306" t="n">
        <v>1.4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24822-2026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46174</v>
      </c>
      <c r="E307" s="1" t="n">
        <v>46312</v>
      </c>
      <c r="F307" t="inlineStr">
        <is>
          <t>VÄSTRA GÖTALANDS LÄN</t>
        </is>
      </c>
      <c r="G307" t="inlineStr">
        <is>
          <t>SVENLJUNGA</t>
        </is>
      </c>
      <c r="I307" t="n">
        <v>4.1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57227-2022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44895</v>
      </c>
      <c r="E308" s="1" t="n">
        <v>46312</v>
      </c>
      <c r="F308" t="inlineStr">
        <is>
          <t>VÄSTRA GÖTALANDS LÄN</t>
        </is>
      </c>
      <c r="G308" t="inlineStr">
        <is>
          <t>SVENLJUNGA</t>
        </is>
      </c>
      <c r="I308" t="n">
        <v>3.7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7145-2022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44603</v>
      </c>
      <c r="E309" s="1" t="n">
        <v>46312</v>
      </c>
      <c r="F309" t="inlineStr">
        <is>
          <t>VÄSTRA GÖTALANDS LÄN</t>
        </is>
      </c>
      <c r="G309" t="inlineStr">
        <is>
          <t>SVENLJUNGA</t>
        </is>
      </c>
      <c r="I309" t="n">
        <v>4.2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37905-2023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45160</v>
      </c>
      <c r="E310" s="1" t="n">
        <v>46312</v>
      </c>
      <c r="F310" t="inlineStr">
        <is>
          <t>VÄSTRA GÖTALANDS LÄN</t>
        </is>
      </c>
      <c r="G310" t="inlineStr">
        <is>
          <t>SVENLJUNGA</t>
        </is>
      </c>
      <c r="I310" t="n">
        <v>1.2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25167-2026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46175</v>
      </c>
      <c r="E311" s="1" t="n">
        <v>46312</v>
      </c>
      <c r="F311" t="inlineStr">
        <is>
          <t>VÄSTRA GÖTALANDS LÄN</t>
        </is>
      </c>
      <c r="G311" t="inlineStr">
        <is>
          <t>SVENLJUNGA</t>
        </is>
      </c>
      <c r="I311" t="n">
        <v>1.9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25168-2026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46175</v>
      </c>
      <c r="E312" s="1" t="n">
        <v>46312</v>
      </c>
      <c r="F312" t="inlineStr">
        <is>
          <t>VÄSTRA GÖTALANDS LÄN</t>
        </is>
      </c>
      <c r="G312" t="inlineStr">
        <is>
          <t>SVENLJUNGA</t>
        </is>
      </c>
      <c r="I312" t="n">
        <v>2.5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1949-2026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46035</v>
      </c>
      <c r="E313" s="1" t="n">
        <v>46312</v>
      </c>
      <c r="F313" t="inlineStr">
        <is>
          <t>VÄSTRA GÖTALANDS LÄN</t>
        </is>
      </c>
      <c r="G313" t="inlineStr">
        <is>
          <t>SVENLJUNGA</t>
        </is>
      </c>
      <c r="I313" t="n">
        <v>1.4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25165-2026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46175</v>
      </c>
      <c r="E314" s="1" t="n">
        <v>46312</v>
      </c>
      <c r="F314" t="inlineStr">
        <is>
          <t>VÄSTRA GÖTALANDS LÄN</t>
        </is>
      </c>
      <c r="G314" t="inlineStr">
        <is>
          <t>SVENLJUNGA</t>
        </is>
      </c>
      <c r="I314" t="n">
        <v>0.6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1600-2026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46034</v>
      </c>
      <c r="E315" s="1" t="n">
        <v>46312</v>
      </c>
      <c r="F315" t="inlineStr">
        <is>
          <t>VÄSTRA GÖTALANDS LÄN</t>
        </is>
      </c>
      <c r="G315" t="inlineStr">
        <is>
          <t>SVENLJUNGA</t>
        </is>
      </c>
      <c r="I315" t="n">
        <v>0.9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16400-2025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45751</v>
      </c>
      <c r="E316" s="1" t="n">
        <v>46312</v>
      </c>
      <c r="F316" t="inlineStr">
        <is>
          <t>VÄSTRA GÖTALANDS LÄN</t>
        </is>
      </c>
      <c r="G316" t="inlineStr">
        <is>
          <t>SVENLJUNGA</t>
        </is>
      </c>
      <c r="I316" t="n">
        <v>4.6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22191-2023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45069</v>
      </c>
      <c r="E317" s="1" t="n">
        <v>46312</v>
      </c>
      <c r="F317" t="inlineStr">
        <is>
          <t>VÄSTRA GÖTALANDS LÄN</t>
        </is>
      </c>
      <c r="G317" t="inlineStr">
        <is>
          <t>SVENLJUNGA</t>
        </is>
      </c>
      <c r="I317" t="n">
        <v>0.6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56093-2023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45236</v>
      </c>
      <c r="E318" s="1" t="n">
        <v>46312</v>
      </c>
      <c r="F318" t="inlineStr">
        <is>
          <t>VÄSTRA GÖTALANDS LÄN</t>
        </is>
      </c>
      <c r="G318" t="inlineStr">
        <is>
          <t>SVENLJUNGA</t>
        </is>
      </c>
      <c r="I318" t="n">
        <v>8.1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56098-2023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45236</v>
      </c>
      <c r="E319" s="1" t="n">
        <v>46312</v>
      </c>
      <c r="F319" t="inlineStr">
        <is>
          <t>VÄSTRA GÖTALANDS LÄN</t>
        </is>
      </c>
      <c r="G319" t="inlineStr">
        <is>
          <t>SVENLJUNGA</t>
        </is>
      </c>
      <c r="I319" t="n">
        <v>3.8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9299-2024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45358</v>
      </c>
      <c r="E320" s="1" t="n">
        <v>46312</v>
      </c>
      <c r="F320" t="inlineStr">
        <is>
          <t>VÄSTRA GÖTALANDS LÄN</t>
        </is>
      </c>
      <c r="G320" t="inlineStr">
        <is>
          <t>SVENLJUNGA</t>
        </is>
      </c>
      <c r="I320" t="n">
        <v>2.5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41382-2024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45560</v>
      </c>
      <c r="E321" s="1" t="n">
        <v>46312</v>
      </c>
      <c r="F321" t="inlineStr">
        <is>
          <t>VÄSTRA GÖTALANDS LÄN</t>
        </is>
      </c>
      <c r="G321" t="inlineStr">
        <is>
          <t>SVENLJUNGA</t>
        </is>
      </c>
      <c r="I321" t="n">
        <v>2.9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45523-2023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45194</v>
      </c>
      <c r="E322" s="1" t="n">
        <v>46312</v>
      </c>
      <c r="F322" t="inlineStr">
        <is>
          <t>VÄSTRA GÖTALANDS LÄN</t>
        </is>
      </c>
      <c r="G322" t="inlineStr">
        <is>
          <t>SVENLJUNGA</t>
        </is>
      </c>
      <c r="I322" t="n">
        <v>1.6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11140-2024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45371</v>
      </c>
      <c r="E323" s="1" t="n">
        <v>46312</v>
      </c>
      <c r="F323" t="inlineStr">
        <is>
          <t>VÄSTRA GÖTALANDS LÄN</t>
        </is>
      </c>
      <c r="G323" t="inlineStr">
        <is>
          <t>SVENLJUNGA</t>
        </is>
      </c>
      <c r="I323" t="n">
        <v>3.3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36106-2023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45149</v>
      </c>
      <c r="E324" s="1" t="n">
        <v>46312</v>
      </c>
      <c r="F324" t="inlineStr">
        <is>
          <t>VÄSTRA GÖTALANDS LÄN</t>
        </is>
      </c>
      <c r="G324" t="inlineStr">
        <is>
          <t>SVENLJUNGA</t>
        </is>
      </c>
      <c r="I324" t="n">
        <v>3.2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6618-2026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46056</v>
      </c>
      <c r="E325" s="1" t="n">
        <v>46312</v>
      </c>
      <c r="F325" t="inlineStr">
        <is>
          <t>VÄSTRA GÖTALANDS LÄN</t>
        </is>
      </c>
      <c r="G325" t="inlineStr">
        <is>
          <t>SVENLJUNGA</t>
        </is>
      </c>
      <c r="I325" t="n">
        <v>4.4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10082-2024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45364</v>
      </c>
      <c r="E326" s="1" t="n">
        <v>46312</v>
      </c>
      <c r="F326" t="inlineStr">
        <is>
          <t>VÄSTRA GÖTALANDS LÄN</t>
        </is>
      </c>
      <c r="G326" t="inlineStr">
        <is>
          <t>SVENLJUNGA</t>
        </is>
      </c>
      <c r="I326" t="n">
        <v>1.4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12633-2023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45000</v>
      </c>
      <c r="E327" s="1" t="n">
        <v>46312</v>
      </c>
      <c r="F327" t="inlineStr">
        <is>
          <t>VÄSTRA GÖTALANDS LÄN</t>
        </is>
      </c>
      <c r="G327" t="inlineStr">
        <is>
          <t>SVENLJUNGA</t>
        </is>
      </c>
      <c r="I327" t="n">
        <v>2.6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56926-2024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45628</v>
      </c>
      <c r="E328" s="1" t="n">
        <v>46312</v>
      </c>
      <c r="F328" t="inlineStr">
        <is>
          <t>VÄSTRA GÖTALANDS LÄN</t>
        </is>
      </c>
      <c r="G328" t="inlineStr">
        <is>
          <t>SVENLJUNGA</t>
        </is>
      </c>
      <c r="I328" t="n">
        <v>0.7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14691-2025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45742</v>
      </c>
      <c r="E329" s="1" t="n">
        <v>46312</v>
      </c>
      <c r="F329" t="inlineStr">
        <is>
          <t>VÄSTRA GÖTALANDS LÄN</t>
        </is>
      </c>
      <c r="G329" t="inlineStr">
        <is>
          <t>SVENLJUNGA</t>
        </is>
      </c>
      <c r="I329" t="n">
        <v>3.8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8142-2026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46064</v>
      </c>
      <c r="E330" s="1" t="n">
        <v>46312</v>
      </c>
      <c r="F330" t="inlineStr">
        <is>
          <t>VÄSTRA GÖTALANDS LÄN</t>
        </is>
      </c>
      <c r="G330" t="inlineStr">
        <is>
          <t>SVENLJUNGA</t>
        </is>
      </c>
      <c r="I330" t="n">
        <v>2.4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46936-2024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45585</v>
      </c>
      <c r="E331" s="1" t="n">
        <v>46312</v>
      </c>
      <c r="F331" t="inlineStr">
        <is>
          <t>VÄSTRA GÖTALANDS LÄN</t>
        </is>
      </c>
      <c r="G331" t="inlineStr">
        <is>
          <t>SVENLJUNGA</t>
        </is>
      </c>
      <c r="I331" t="n">
        <v>10.1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34653-2024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45526</v>
      </c>
      <c r="E332" s="1" t="n">
        <v>46312</v>
      </c>
      <c r="F332" t="inlineStr">
        <is>
          <t>VÄSTRA GÖTALANDS LÄN</t>
        </is>
      </c>
      <c r="G332" t="inlineStr">
        <is>
          <t>SVENLJUNGA</t>
        </is>
      </c>
      <c r="H332" t="inlineStr">
        <is>
          <t>Kommuner</t>
        </is>
      </c>
      <c r="I332" t="n">
        <v>2.1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9735-2026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46072</v>
      </c>
      <c r="E333" s="1" t="n">
        <v>46312</v>
      </c>
      <c r="F333" t="inlineStr">
        <is>
          <t>VÄSTRA GÖTALANDS LÄN</t>
        </is>
      </c>
      <c r="G333" t="inlineStr">
        <is>
          <t>SVENLJUNGA</t>
        </is>
      </c>
      <c r="I333" t="n">
        <v>1.2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8623-2026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46066</v>
      </c>
      <c r="E334" s="1" t="n">
        <v>46312</v>
      </c>
      <c r="F334" t="inlineStr">
        <is>
          <t>VÄSTRA GÖTALANDS LÄN</t>
        </is>
      </c>
      <c r="G334" t="inlineStr">
        <is>
          <t>SVENLJUNGA</t>
        </is>
      </c>
      <c r="I334" t="n">
        <v>6.5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10359-2026</t>
        </is>
      </c>
      <c r="B335" t="inlineStr">
        <is>
          <t>avverkningsanmälan</t>
        </is>
      </c>
      <c r="C335" t="inlineStr">
        <is>
          <t>Avverkning för annat ändamål</t>
        </is>
      </c>
      <c r="D335" s="1" t="n">
        <v>46076</v>
      </c>
      <c r="E335" s="1" t="n">
        <v>46312</v>
      </c>
      <c r="F335" t="inlineStr">
        <is>
          <t>VÄSTRA GÖTALANDS LÄN</t>
        </is>
      </c>
      <c r="G335" t="inlineStr">
        <is>
          <t>SVENLJUNGA</t>
        </is>
      </c>
      <c r="H335" t="inlineStr">
        <is>
          <t>Kommuner</t>
        </is>
      </c>
      <c r="I335" t="n">
        <v>0.6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36493-2022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44804</v>
      </c>
      <c r="E336" s="1" t="n">
        <v>46312</v>
      </c>
      <c r="F336" t="inlineStr">
        <is>
          <t>VÄSTRA GÖTALANDS LÄN</t>
        </is>
      </c>
      <c r="G336" t="inlineStr">
        <is>
          <t>SVENLJUNGA</t>
        </is>
      </c>
      <c r="I336" t="n">
        <v>6.3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41880-2022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44830</v>
      </c>
      <c r="E337" s="1" t="n">
        <v>46312</v>
      </c>
      <c r="F337" t="inlineStr">
        <is>
          <t>VÄSTRA GÖTALANDS LÄN</t>
        </is>
      </c>
      <c r="G337" t="inlineStr">
        <is>
          <t>SVENLJUNGA</t>
        </is>
      </c>
      <c r="I337" t="n">
        <v>2.8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8622-2026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46066</v>
      </c>
      <c r="E338" s="1" t="n">
        <v>46312</v>
      </c>
      <c r="F338" t="inlineStr">
        <is>
          <t>VÄSTRA GÖTALANDS LÄN</t>
        </is>
      </c>
      <c r="G338" t="inlineStr">
        <is>
          <t>SVENLJUNGA</t>
        </is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8624-2026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46066</v>
      </c>
      <c r="E339" s="1" t="n">
        <v>46312</v>
      </c>
      <c r="F339" t="inlineStr">
        <is>
          <t>VÄSTRA GÖTALANDS LÄN</t>
        </is>
      </c>
      <c r="G339" t="inlineStr">
        <is>
          <t>SVENLJUNGA</t>
        </is>
      </c>
      <c r="I339" t="n">
        <v>4.7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37110-2022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44806</v>
      </c>
      <c r="E340" s="1" t="n">
        <v>46312</v>
      </c>
      <c r="F340" t="inlineStr">
        <is>
          <t>VÄSTRA GÖTALANDS LÄN</t>
        </is>
      </c>
      <c r="G340" t="inlineStr">
        <is>
          <t>SVENLJUNGA</t>
        </is>
      </c>
      <c r="I340" t="n">
        <v>0.9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40552-2024</t>
        </is>
      </c>
      <c r="B341" t="inlineStr">
        <is>
          <t>avverkningsanmälan</t>
        </is>
      </c>
      <c r="C341" t="inlineStr">
        <is>
          <t>Avverkning för annat ändamål</t>
        </is>
      </c>
      <c r="D341" s="1" t="n">
        <v>45555</v>
      </c>
      <c r="E341" s="1" t="n">
        <v>46312</v>
      </c>
      <c r="F341" t="inlineStr">
        <is>
          <t>VÄSTRA GÖTALANDS LÄN</t>
        </is>
      </c>
      <c r="G341" t="inlineStr">
        <is>
          <t>SVENLJUNGA</t>
        </is>
      </c>
      <c r="H341" t="inlineStr">
        <is>
          <t>Kommuner</t>
        </is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28889-2022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44749</v>
      </c>
      <c r="E342" s="1" t="n">
        <v>46312</v>
      </c>
      <c r="F342" t="inlineStr">
        <is>
          <t>VÄSTRA GÖTALANDS LÄN</t>
        </is>
      </c>
      <c r="G342" t="inlineStr">
        <is>
          <t>SVENLJUNGA</t>
        </is>
      </c>
      <c r="I342" t="n">
        <v>1.7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10983-2026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46079</v>
      </c>
      <c r="E343" s="1" t="n">
        <v>46312</v>
      </c>
      <c r="F343" t="inlineStr">
        <is>
          <t>VÄSTRA GÖTALANDS LÄN</t>
        </is>
      </c>
      <c r="G343" t="inlineStr">
        <is>
          <t>SVENLJUNGA</t>
        </is>
      </c>
      <c r="I343" t="n">
        <v>1.1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29815-2024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45485</v>
      </c>
      <c r="E344" s="1" t="n">
        <v>46312</v>
      </c>
      <c r="F344" t="inlineStr">
        <is>
          <t>VÄSTRA GÖTALANDS LÄN</t>
        </is>
      </c>
      <c r="G344" t="inlineStr">
        <is>
          <t>SVENLJUNGA</t>
        </is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29816-2024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45485</v>
      </c>
      <c r="E345" s="1" t="n">
        <v>46312</v>
      </c>
      <c r="F345" t="inlineStr">
        <is>
          <t>VÄSTRA GÖTALANDS LÄN</t>
        </is>
      </c>
      <c r="G345" t="inlineStr">
        <is>
          <t>SVENLJUNGA</t>
        </is>
      </c>
      <c r="I345" t="n">
        <v>1.2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10903-2026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46078</v>
      </c>
      <c r="E346" s="1" t="n">
        <v>46312</v>
      </c>
      <c r="F346" t="inlineStr">
        <is>
          <t>VÄSTRA GÖTALANDS LÄN</t>
        </is>
      </c>
      <c r="G346" t="inlineStr">
        <is>
          <t>SVENLJUNGA</t>
        </is>
      </c>
      <c r="I346" t="n">
        <v>0.8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19319-2023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45048</v>
      </c>
      <c r="E347" s="1" t="n">
        <v>46312</v>
      </c>
      <c r="F347" t="inlineStr">
        <is>
          <t>VÄSTRA GÖTALANDS LÄN</t>
        </is>
      </c>
      <c r="G347" t="inlineStr">
        <is>
          <t>SVENLJUNGA</t>
        </is>
      </c>
      <c r="I347" t="n">
        <v>2.1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11951-2026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46085</v>
      </c>
      <c r="E348" s="1" t="n">
        <v>46312</v>
      </c>
      <c r="F348" t="inlineStr">
        <is>
          <t>VÄSTRA GÖTALANDS LÄN</t>
        </is>
      </c>
      <c r="G348" t="inlineStr">
        <is>
          <t>SVENLJUNGA</t>
        </is>
      </c>
      <c r="H348" t="inlineStr">
        <is>
          <t>Sveaskog</t>
        </is>
      </c>
      <c r="I348" t="n">
        <v>5.2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11954-2026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46085</v>
      </c>
      <c r="E349" s="1" t="n">
        <v>46312</v>
      </c>
      <c r="F349" t="inlineStr">
        <is>
          <t>VÄSTRA GÖTALANDS LÄN</t>
        </is>
      </c>
      <c r="G349" t="inlineStr">
        <is>
          <t>SVENLJUNGA</t>
        </is>
      </c>
      <c r="H349" t="inlineStr">
        <is>
          <t>Sveaskog</t>
        </is>
      </c>
      <c r="I349" t="n">
        <v>2.1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11968-2026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46085</v>
      </c>
      <c r="E350" s="1" t="n">
        <v>46312</v>
      </c>
      <c r="F350" t="inlineStr">
        <is>
          <t>VÄSTRA GÖTALANDS LÄN</t>
        </is>
      </c>
      <c r="G350" t="inlineStr">
        <is>
          <t>SVENLJUNGA</t>
        </is>
      </c>
      <c r="H350" t="inlineStr">
        <is>
          <t>Sveaskog</t>
        </is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11964-2026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46085</v>
      </c>
      <c r="E351" s="1" t="n">
        <v>46312</v>
      </c>
      <c r="F351" t="inlineStr">
        <is>
          <t>VÄSTRA GÖTALANDS LÄN</t>
        </is>
      </c>
      <c r="G351" t="inlineStr">
        <is>
          <t>SVENLJUNGA</t>
        </is>
      </c>
      <c r="H351" t="inlineStr">
        <is>
          <t>Sveaskog</t>
        </is>
      </c>
      <c r="I351" t="n">
        <v>3.5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12432-2026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46090</v>
      </c>
      <c r="E352" s="1" t="n">
        <v>46312</v>
      </c>
      <c r="F352" t="inlineStr">
        <is>
          <t>VÄSTRA GÖTALANDS LÄN</t>
        </is>
      </c>
      <c r="G352" t="inlineStr">
        <is>
          <t>SVENLJUNGA</t>
        </is>
      </c>
      <c r="I352" t="n">
        <v>7.3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12589-2023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45000</v>
      </c>
      <c r="E353" s="1" t="n">
        <v>46312</v>
      </c>
      <c r="F353" t="inlineStr">
        <is>
          <t>VÄSTRA GÖTALANDS LÄN</t>
        </is>
      </c>
      <c r="G353" t="inlineStr">
        <is>
          <t>SVENLJUNGA</t>
        </is>
      </c>
      <c r="I353" t="n">
        <v>1.5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21259-2023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45062</v>
      </c>
      <c r="E354" s="1" t="n">
        <v>46312</v>
      </c>
      <c r="F354" t="inlineStr">
        <is>
          <t>VÄSTRA GÖTALANDS LÄN</t>
        </is>
      </c>
      <c r="G354" t="inlineStr">
        <is>
          <t>SVENLJUNGA</t>
        </is>
      </c>
      <c r="I354" t="n">
        <v>1.1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12966-2026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46092</v>
      </c>
      <c r="E355" s="1" t="n">
        <v>46312</v>
      </c>
      <c r="F355" t="inlineStr">
        <is>
          <t>VÄSTRA GÖTALANDS LÄN</t>
        </is>
      </c>
      <c r="G355" t="inlineStr">
        <is>
          <t>SVENLJUNGA</t>
        </is>
      </c>
      <c r="I355" t="n">
        <v>3.7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51905-2022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44872</v>
      </c>
      <c r="E356" s="1" t="n">
        <v>46312</v>
      </c>
      <c r="F356" t="inlineStr">
        <is>
          <t>VÄSTRA GÖTALANDS LÄN</t>
        </is>
      </c>
      <c r="G356" t="inlineStr">
        <is>
          <t>SVENLJUNGA</t>
        </is>
      </c>
      <c r="I356" t="n">
        <v>1.9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13501-2026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46094</v>
      </c>
      <c r="E357" s="1" t="n">
        <v>46312</v>
      </c>
      <c r="F357" t="inlineStr">
        <is>
          <t>VÄSTRA GÖTALANDS LÄN</t>
        </is>
      </c>
      <c r="G357" t="inlineStr">
        <is>
          <t>SVENLJUNGA</t>
        </is>
      </c>
      <c r="I357" t="n">
        <v>0.7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13936-2025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45737</v>
      </c>
      <c r="E358" s="1" t="n">
        <v>46312</v>
      </c>
      <c r="F358" t="inlineStr">
        <is>
          <t>VÄSTRA GÖTALANDS LÄN</t>
        </is>
      </c>
      <c r="G358" t="inlineStr">
        <is>
          <t>SVENLJUNGA</t>
        </is>
      </c>
      <c r="I358" t="n">
        <v>1.5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61171-2022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44915</v>
      </c>
      <c r="E359" s="1" t="n">
        <v>46312</v>
      </c>
      <c r="F359" t="inlineStr">
        <is>
          <t>VÄSTRA GÖTALANDS LÄN</t>
        </is>
      </c>
      <c r="G359" t="inlineStr">
        <is>
          <t>SVENLJUNGA</t>
        </is>
      </c>
      <c r="I359" t="n">
        <v>5.4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9639-2024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45362</v>
      </c>
      <c r="E360" s="1" t="n">
        <v>46312</v>
      </c>
      <c r="F360" t="inlineStr">
        <is>
          <t>VÄSTRA GÖTALANDS LÄN</t>
        </is>
      </c>
      <c r="G360" t="inlineStr">
        <is>
          <t>SVENLJUNGA</t>
        </is>
      </c>
      <c r="I360" t="n">
        <v>3.1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32386-2023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45120</v>
      </c>
      <c r="E361" s="1" t="n">
        <v>46312</v>
      </c>
      <c r="F361" t="inlineStr">
        <is>
          <t>VÄSTRA GÖTALANDS LÄN</t>
        </is>
      </c>
      <c r="G361" t="inlineStr">
        <is>
          <t>SVENLJUNGA</t>
        </is>
      </c>
      <c r="I361" t="n">
        <v>1.3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11363-2025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45726</v>
      </c>
      <c r="E362" s="1" t="n">
        <v>46312</v>
      </c>
      <c r="F362" t="inlineStr">
        <is>
          <t>VÄSTRA GÖTALANDS LÄN</t>
        </is>
      </c>
      <c r="G362" t="inlineStr">
        <is>
          <t>SVENLJUNGA</t>
        </is>
      </c>
      <c r="I362" t="n">
        <v>1.2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26146-2023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45091</v>
      </c>
      <c r="E363" s="1" t="n">
        <v>46312</v>
      </c>
      <c r="F363" t="inlineStr">
        <is>
          <t>VÄSTRA GÖTALANDS LÄN</t>
        </is>
      </c>
      <c r="G363" t="inlineStr">
        <is>
          <t>SVENLJUNGA</t>
        </is>
      </c>
      <c r="I363" t="n">
        <v>0.9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47810-2024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45588</v>
      </c>
      <c r="E364" s="1" t="n">
        <v>46312</v>
      </c>
      <c r="F364" t="inlineStr">
        <is>
          <t>VÄSTRA GÖTALANDS LÄN</t>
        </is>
      </c>
      <c r="G364" t="inlineStr">
        <is>
          <t>SVENLJUNGA</t>
        </is>
      </c>
      <c r="I364" t="n">
        <v>0.7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15418-2026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46106</v>
      </c>
      <c r="E365" s="1" t="n">
        <v>46312</v>
      </c>
      <c r="F365" t="inlineStr">
        <is>
          <t>VÄSTRA GÖTALANDS LÄN</t>
        </is>
      </c>
      <c r="G365" t="inlineStr">
        <is>
          <t>SVENLJUNGA</t>
        </is>
      </c>
      <c r="I365" t="n">
        <v>2.4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15424-2026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46106</v>
      </c>
      <c r="E366" s="1" t="n">
        <v>46312</v>
      </c>
      <c r="F366" t="inlineStr">
        <is>
          <t>VÄSTRA GÖTALANDS LÄN</t>
        </is>
      </c>
      <c r="G366" t="inlineStr">
        <is>
          <t>SVENLJUNGA</t>
        </is>
      </c>
      <c r="I366" t="n">
        <v>1.6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15623-2026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46106</v>
      </c>
      <c r="E367" s="1" t="n">
        <v>46312</v>
      </c>
      <c r="F367" t="inlineStr">
        <is>
          <t>VÄSTRA GÖTALANDS LÄN</t>
        </is>
      </c>
      <c r="G367" t="inlineStr">
        <is>
          <t>SVENLJUNGA</t>
        </is>
      </c>
      <c r="I367" t="n">
        <v>1.7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28242-2026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46196</v>
      </c>
      <c r="E368" s="1" t="n">
        <v>46312</v>
      </c>
      <c r="F368" t="inlineStr">
        <is>
          <t>VÄSTRA GÖTALANDS LÄN</t>
        </is>
      </c>
      <c r="G368" t="inlineStr">
        <is>
          <t>SVENLJUNGA</t>
        </is>
      </c>
      <c r="I368" t="n">
        <v>3.3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16844-2024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45411</v>
      </c>
      <c r="E369" s="1" t="n">
        <v>46312</v>
      </c>
      <c r="F369" t="inlineStr">
        <is>
          <t>VÄSTRA GÖTALANDS LÄN</t>
        </is>
      </c>
      <c r="G369" t="inlineStr">
        <is>
          <t>SVENLJUNGA</t>
        </is>
      </c>
      <c r="I369" t="n">
        <v>2.2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11216-2025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45726</v>
      </c>
      <c r="E370" s="1" t="n">
        <v>46312</v>
      </c>
      <c r="F370" t="inlineStr">
        <is>
          <t>VÄSTRA GÖTALANDS LÄN</t>
        </is>
      </c>
      <c r="G370" t="inlineStr">
        <is>
          <t>SVENLJUNGA</t>
        </is>
      </c>
      <c r="I370" t="n">
        <v>0.4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18499-2025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45763</v>
      </c>
      <c r="E371" s="1" t="n">
        <v>46312</v>
      </c>
      <c r="F371" t="inlineStr">
        <is>
          <t>VÄSTRA GÖTALANDS LÄN</t>
        </is>
      </c>
      <c r="G371" t="inlineStr">
        <is>
          <t>SVENLJUNGA</t>
        </is>
      </c>
      <c r="I371" t="n">
        <v>0.8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16280-2026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46111</v>
      </c>
      <c r="E372" s="1" t="n">
        <v>46312</v>
      </c>
      <c r="F372" t="inlineStr">
        <is>
          <t>VÄSTRA GÖTALANDS LÄN</t>
        </is>
      </c>
      <c r="G372" t="inlineStr">
        <is>
          <t>SVENLJUNGA</t>
        </is>
      </c>
      <c r="I372" t="n">
        <v>4.5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39173-2023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45166</v>
      </c>
      <c r="E373" s="1" t="n">
        <v>46312</v>
      </c>
      <c r="F373" t="inlineStr">
        <is>
          <t>VÄSTRA GÖTALANDS LÄN</t>
        </is>
      </c>
      <c r="G373" t="inlineStr">
        <is>
          <t>SVENLJUNGA</t>
        </is>
      </c>
      <c r="I373" t="n">
        <v>3.6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42611-2024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45565</v>
      </c>
      <c r="E374" s="1" t="n">
        <v>46312</v>
      </c>
      <c r="F374" t="inlineStr">
        <is>
          <t>VÄSTRA GÖTALANDS LÄN</t>
        </is>
      </c>
      <c r="G374" t="inlineStr">
        <is>
          <t>SVENLJUNGA</t>
        </is>
      </c>
      <c r="I374" t="n">
        <v>5.2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8970-2024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45357</v>
      </c>
      <c r="E375" s="1" t="n">
        <v>46312</v>
      </c>
      <c r="F375" t="inlineStr">
        <is>
          <t>VÄSTRA GÖTALANDS LÄN</t>
        </is>
      </c>
      <c r="G375" t="inlineStr">
        <is>
          <t>SVENLJUNGA</t>
        </is>
      </c>
      <c r="I375" t="n">
        <v>3.6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28969-2026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46199</v>
      </c>
      <c r="E376" s="1" t="n">
        <v>46312</v>
      </c>
      <c r="F376" t="inlineStr">
        <is>
          <t>VÄSTRA GÖTALANDS LÄN</t>
        </is>
      </c>
      <c r="G376" t="inlineStr">
        <is>
          <t>SVENLJUNGA</t>
        </is>
      </c>
      <c r="I376" t="n">
        <v>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45272-2023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45191</v>
      </c>
      <c r="E377" s="1" t="n">
        <v>46312</v>
      </c>
      <c r="F377" t="inlineStr">
        <is>
          <t>VÄSTRA GÖTALANDS LÄN</t>
        </is>
      </c>
      <c r="G377" t="inlineStr">
        <is>
          <t>SVENLJUNGA</t>
        </is>
      </c>
      <c r="I377" t="n">
        <v>1.1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17450-2026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46120</v>
      </c>
      <c r="E378" s="1" t="n">
        <v>46312</v>
      </c>
      <c r="F378" t="inlineStr">
        <is>
          <t>VÄSTRA GÖTALANDS LÄN</t>
        </is>
      </c>
      <c r="G378" t="inlineStr">
        <is>
          <t>SVENLJUNGA</t>
        </is>
      </c>
      <c r="I378" t="n">
        <v>0.8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28959-2026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46199</v>
      </c>
      <c r="E379" s="1" t="n">
        <v>46312</v>
      </c>
      <c r="F379" t="inlineStr">
        <is>
          <t>VÄSTRA GÖTALANDS LÄN</t>
        </is>
      </c>
      <c r="G379" t="inlineStr">
        <is>
          <t>SVENLJUNGA</t>
        </is>
      </c>
      <c r="I379" t="n">
        <v>4.1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62303-2023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45267</v>
      </c>
      <c r="E380" s="1" t="n">
        <v>46312</v>
      </c>
      <c r="F380" t="inlineStr">
        <is>
          <t>VÄSTRA GÖTALANDS LÄN</t>
        </is>
      </c>
      <c r="G380" t="inlineStr">
        <is>
          <t>SVENLJUNGA</t>
        </is>
      </c>
      <c r="I380" t="n">
        <v>2.2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28972-2026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46199</v>
      </c>
      <c r="E381" s="1" t="n">
        <v>46312</v>
      </c>
      <c r="F381" t="inlineStr">
        <is>
          <t>VÄSTRA GÖTALANDS LÄN</t>
        </is>
      </c>
      <c r="G381" t="inlineStr">
        <is>
          <t>SVENLJUNGA</t>
        </is>
      </c>
      <c r="I381" t="n">
        <v>6.8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37939-2023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45160</v>
      </c>
      <c r="E382" s="1" t="n">
        <v>46312</v>
      </c>
      <c r="F382" t="inlineStr">
        <is>
          <t>VÄSTRA GÖTALANDS LÄN</t>
        </is>
      </c>
      <c r="G382" t="inlineStr">
        <is>
          <t>SVENLJUNGA</t>
        </is>
      </c>
      <c r="I382" t="n">
        <v>0.6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20248-2022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44698</v>
      </c>
      <c r="E383" s="1" t="n">
        <v>46312</v>
      </c>
      <c r="F383" t="inlineStr">
        <is>
          <t>VÄSTRA GÖTALANDS LÄN</t>
        </is>
      </c>
      <c r="G383" t="inlineStr">
        <is>
          <t>SVENLJUNGA</t>
        </is>
      </c>
      <c r="I383" t="n">
        <v>0.7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22188-2023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45069</v>
      </c>
      <c r="E384" s="1" t="n">
        <v>46312</v>
      </c>
      <c r="F384" t="inlineStr">
        <is>
          <t>VÄSTRA GÖTALANDS LÄN</t>
        </is>
      </c>
      <c r="G384" t="inlineStr">
        <is>
          <t>SVENLJUNGA</t>
        </is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10516-2023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44987</v>
      </c>
      <c r="E385" s="1" t="n">
        <v>46312</v>
      </c>
      <c r="F385" t="inlineStr">
        <is>
          <t>VÄSTRA GÖTALANDS LÄN</t>
        </is>
      </c>
      <c r="G385" t="inlineStr">
        <is>
          <t>SVENLJUNGA</t>
        </is>
      </c>
      <c r="I385" t="n">
        <v>5.4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42703-2023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45181</v>
      </c>
      <c r="E386" s="1" t="n">
        <v>46312</v>
      </c>
      <c r="F386" t="inlineStr">
        <is>
          <t>VÄSTRA GÖTALANDS LÄN</t>
        </is>
      </c>
      <c r="G386" t="inlineStr">
        <is>
          <t>SVENLJUNGA</t>
        </is>
      </c>
      <c r="I386" t="n">
        <v>0.7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9205-2022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44615</v>
      </c>
      <c r="E387" s="1" t="n">
        <v>46312</v>
      </c>
      <c r="F387" t="inlineStr">
        <is>
          <t>VÄSTRA GÖTALANDS LÄN</t>
        </is>
      </c>
      <c r="G387" t="inlineStr">
        <is>
          <t>SVENLJUNGA</t>
        </is>
      </c>
      <c r="I387" t="n">
        <v>2.9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20556-2025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45775</v>
      </c>
      <c r="E388" s="1" t="n">
        <v>46312</v>
      </c>
      <c r="F388" t="inlineStr">
        <is>
          <t>VÄSTRA GÖTALANDS LÄN</t>
        </is>
      </c>
      <c r="G388" t="inlineStr">
        <is>
          <t>SVENLJUNGA</t>
        </is>
      </c>
      <c r="I388" t="n">
        <v>1.2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55820-2025</t>
        </is>
      </c>
      <c r="B389" t="inlineStr">
        <is>
          <t>avverkningsanmälan</t>
        </is>
      </c>
      <c r="C389" t="inlineStr">
        <is>
          <t>Avverkning för annat ändamål</t>
        </is>
      </c>
      <c r="D389" s="1" t="n">
        <v>45972</v>
      </c>
      <c r="E389" s="1" t="n">
        <v>46312</v>
      </c>
      <c r="F389" t="inlineStr">
        <is>
          <t>VÄSTRA GÖTALANDS LÄN</t>
        </is>
      </c>
      <c r="G389" t="inlineStr">
        <is>
          <t>SVENLJUNGA</t>
        </is>
      </c>
      <c r="I389" t="n">
        <v>2.5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30103-2026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46206</v>
      </c>
      <c r="E390" s="1" t="n">
        <v>46312</v>
      </c>
      <c r="F390" t="inlineStr">
        <is>
          <t>VÄSTRA GÖTALANDS LÄN</t>
        </is>
      </c>
      <c r="G390" t="inlineStr">
        <is>
          <t>SVENLJUNGA</t>
        </is>
      </c>
      <c r="I390" t="n">
        <v>5.3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27489-2024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45474</v>
      </c>
      <c r="E391" s="1" t="n">
        <v>46312</v>
      </c>
      <c r="F391" t="inlineStr">
        <is>
          <t>VÄSTRA GÖTALANDS LÄN</t>
        </is>
      </c>
      <c r="G391" t="inlineStr">
        <is>
          <t>SVENLJUNGA</t>
        </is>
      </c>
      <c r="H391" t="inlineStr">
        <is>
          <t>Kommuner</t>
        </is>
      </c>
      <c r="I391" t="n">
        <v>0.6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30147-2026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46206</v>
      </c>
      <c r="E392" s="1" t="n">
        <v>46312</v>
      </c>
      <c r="F392" t="inlineStr">
        <is>
          <t>VÄSTRA GÖTALANDS LÄN</t>
        </is>
      </c>
      <c r="G392" t="inlineStr">
        <is>
          <t>SVENLJUNGA</t>
        </is>
      </c>
      <c r="I392" t="n">
        <v>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36871-2024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45538</v>
      </c>
      <c r="E393" s="1" t="n">
        <v>46312</v>
      </c>
      <c r="F393" t="inlineStr">
        <is>
          <t>VÄSTRA GÖTALANDS LÄN</t>
        </is>
      </c>
      <c r="G393" t="inlineStr">
        <is>
          <t>SVENLJUNGA</t>
        </is>
      </c>
      <c r="I393" t="n">
        <v>1.3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29935-2026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46205</v>
      </c>
      <c r="E394" s="1" t="n">
        <v>46312</v>
      </c>
      <c r="F394" t="inlineStr">
        <is>
          <t>VÄSTRA GÖTALANDS LÄN</t>
        </is>
      </c>
      <c r="G394" t="inlineStr">
        <is>
          <t>SVENLJUNGA</t>
        </is>
      </c>
      <c r="I394" t="n">
        <v>1.2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18149-2024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45420</v>
      </c>
      <c r="E395" s="1" t="n">
        <v>46312</v>
      </c>
      <c r="F395" t="inlineStr">
        <is>
          <t>VÄSTRA GÖTALANDS LÄN</t>
        </is>
      </c>
      <c r="G395" t="inlineStr">
        <is>
          <t>SVENLJUNGA</t>
        </is>
      </c>
      <c r="I395" t="n">
        <v>1.1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30361-2026</t>
        </is>
      </c>
      <c r="B396" t="inlineStr">
        <is>
          <t>avverkningsanmälan</t>
        </is>
      </c>
      <c r="C396" t="inlineStr">
        <is>
          <t>Avverkning för annat ändamål</t>
        </is>
      </c>
      <c r="D396" s="1" t="n">
        <v>46209</v>
      </c>
      <c r="E396" s="1" t="n">
        <v>46312</v>
      </c>
      <c r="F396" t="inlineStr">
        <is>
          <t>VÄSTRA GÖTALANDS LÄN</t>
        </is>
      </c>
      <c r="G396" t="inlineStr">
        <is>
          <t>SVENLJUNGA</t>
        </is>
      </c>
      <c r="I396" t="n">
        <v>6.2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30355-2026</t>
        </is>
      </c>
      <c r="B397" t="inlineStr">
        <is>
          <t>avverkningsanmälan</t>
        </is>
      </c>
      <c r="C397" t="inlineStr">
        <is>
          <t>Avverkning för annat ändamål</t>
        </is>
      </c>
      <c r="D397" s="1" t="n">
        <v>46209</v>
      </c>
      <c r="E397" s="1" t="n">
        <v>46312</v>
      </c>
      <c r="F397" t="inlineStr">
        <is>
          <t>VÄSTRA GÖTALANDS LÄN</t>
        </is>
      </c>
      <c r="G397" t="inlineStr">
        <is>
          <t>SVENLJUNGA</t>
        </is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47817-2024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45588</v>
      </c>
      <c r="E398" s="1" t="n">
        <v>46312</v>
      </c>
      <c r="F398" t="inlineStr">
        <is>
          <t>VÄSTRA GÖTALANDS LÄN</t>
        </is>
      </c>
      <c r="G398" t="inlineStr">
        <is>
          <t>SVENLJUNGA</t>
        </is>
      </c>
      <c r="I398" t="n">
        <v>0.4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56626-2023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45243</v>
      </c>
      <c r="E399" s="1" t="n">
        <v>46312</v>
      </c>
      <c r="F399" t="inlineStr">
        <is>
          <t>VÄSTRA GÖTALANDS LÄN</t>
        </is>
      </c>
      <c r="G399" t="inlineStr">
        <is>
          <t>SVENLJUNGA</t>
        </is>
      </c>
      <c r="I399" t="n">
        <v>1.3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28053-2023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45099</v>
      </c>
      <c r="E400" s="1" t="n">
        <v>46312</v>
      </c>
      <c r="F400" t="inlineStr">
        <is>
          <t>VÄSTRA GÖTALANDS LÄN</t>
        </is>
      </c>
      <c r="G400" t="inlineStr">
        <is>
          <t>SVENLJUNGA</t>
        </is>
      </c>
      <c r="I400" t="n">
        <v>3.5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24434-2023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45082</v>
      </c>
      <c r="E401" s="1" t="n">
        <v>46312</v>
      </c>
      <c r="F401" t="inlineStr">
        <is>
          <t>VÄSTRA GÖTALANDS LÄN</t>
        </is>
      </c>
      <c r="G401" t="inlineStr">
        <is>
          <t>SVENLJUNGA</t>
        </is>
      </c>
      <c r="H401" t="inlineStr">
        <is>
          <t>Kommuner</t>
        </is>
      </c>
      <c r="I401" t="n">
        <v>1.6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18635-2023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45043</v>
      </c>
      <c r="E402" s="1" t="n">
        <v>46312</v>
      </c>
      <c r="F402" t="inlineStr">
        <is>
          <t>VÄSTRA GÖTALANDS LÄN</t>
        </is>
      </c>
      <c r="G402" t="inlineStr">
        <is>
          <t>SVENLJUNGA</t>
        </is>
      </c>
      <c r="I402" t="n">
        <v>3.4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33136-2024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45518</v>
      </c>
      <c r="E403" s="1" t="n">
        <v>46312</v>
      </c>
      <c r="F403" t="inlineStr">
        <is>
          <t>VÄSTRA GÖTALANDS LÄN</t>
        </is>
      </c>
      <c r="G403" t="inlineStr">
        <is>
          <t>SVENLJUNGA</t>
        </is>
      </c>
      <c r="I403" t="n">
        <v>0.8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22183-2023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45069</v>
      </c>
      <c r="E404" s="1" t="n">
        <v>46312</v>
      </c>
      <c r="F404" t="inlineStr">
        <is>
          <t>VÄSTRA GÖTALANDS LÄN</t>
        </is>
      </c>
      <c r="G404" t="inlineStr">
        <is>
          <t>SVENLJUNGA</t>
        </is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22185-2023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45069</v>
      </c>
      <c r="E405" s="1" t="n">
        <v>46312</v>
      </c>
      <c r="F405" t="inlineStr">
        <is>
          <t>VÄSTRA GÖTALANDS LÄN</t>
        </is>
      </c>
      <c r="G405" t="inlineStr">
        <is>
          <t>SVENLJUNGA</t>
        </is>
      </c>
      <c r="I405" t="n">
        <v>0.7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36980-2026</t>
        </is>
      </c>
      <c r="B406" t="inlineStr">
        <is>
          <t>avverkningsanmälan</t>
        </is>
      </c>
      <c r="C406" t="inlineStr">
        <is>
          <t>Avverkning för att bevara och utveckla /försöksver</t>
        </is>
      </c>
      <c r="D406" s="1" t="n">
        <v>46273</v>
      </c>
      <c r="E406" s="1" t="n">
        <v>46312</v>
      </c>
      <c r="F406" t="inlineStr">
        <is>
          <t>VÄSTRA GÖTALANDS LÄN</t>
        </is>
      </c>
      <c r="G406" t="inlineStr">
        <is>
          <t>SVENLJUNGA</t>
        </is>
      </c>
      <c r="H406" t="inlineStr">
        <is>
          <t>Sveaskog</t>
        </is>
      </c>
      <c r="I406" t="n">
        <v>1.7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37859-2024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45544</v>
      </c>
      <c r="E407" s="1" t="n">
        <v>46312</v>
      </c>
      <c r="F407" t="inlineStr">
        <is>
          <t>VÄSTRA GÖTALANDS LÄN</t>
        </is>
      </c>
      <c r="G407" t="inlineStr">
        <is>
          <t>SVENLJUNGA</t>
        </is>
      </c>
      <c r="I407" t="n">
        <v>0.5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37217-2026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46274</v>
      </c>
      <c r="E408" s="1" t="n">
        <v>46312</v>
      </c>
      <c r="F408" t="inlineStr">
        <is>
          <t>VÄSTRA GÖTALANDS LÄN</t>
        </is>
      </c>
      <c r="G408" t="inlineStr">
        <is>
          <t>SVENLJUNGA</t>
        </is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37098-2026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46274</v>
      </c>
      <c r="E409" s="1" t="n">
        <v>46312</v>
      </c>
      <c r="F409" t="inlineStr">
        <is>
          <t>VÄSTRA GÖTALANDS LÄN</t>
        </is>
      </c>
      <c r="G409" t="inlineStr">
        <is>
          <t>SVENLJUNGA</t>
        </is>
      </c>
      <c r="I409" t="n">
        <v>1.5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37106-2026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46274</v>
      </c>
      <c r="E410" s="1" t="n">
        <v>46312</v>
      </c>
      <c r="F410" t="inlineStr">
        <is>
          <t>VÄSTRA GÖTALANDS LÄN</t>
        </is>
      </c>
      <c r="G410" t="inlineStr">
        <is>
          <t>SVENLJUNGA</t>
        </is>
      </c>
      <c r="I410" t="n">
        <v>0.7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37155-2026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46274</v>
      </c>
      <c r="E411" s="1" t="n">
        <v>46312</v>
      </c>
      <c r="F411" t="inlineStr">
        <is>
          <t>VÄSTRA GÖTALANDS LÄN</t>
        </is>
      </c>
      <c r="G411" t="inlineStr">
        <is>
          <t>SVENLJUNGA</t>
        </is>
      </c>
      <c r="I411" t="n">
        <v>0.9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37100-2026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46274</v>
      </c>
      <c r="E412" s="1" t="n">
        <v>46312</v>
      </c>
      <c r="F412" t="inlineStr">
        <is>
          <t>VÄSTRA GÖTALANDS LÄN</t>
        </is>
      </c>
      <c r="G412" t="inlineStr">
        <is>
          <t>SVENLJUNGA</t>
        </is>
      </c>
      <c r="I412" t="n">
        <v>1.3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3027-2024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45316</v>
      </c>
      <c r="E413" s="1" t="n">
        <v>46312</v>
      </c>
      <c r="F413" t="inlineStr">
        <is>
          <t>VÄSTRA GÖTALANDS LÄN</t>
        </is>
      </c>
      <c r="G413" t="inlineStr">
        <is>
          <t>SVENLJUNGA</t>
        </is>
      </c>
      <c r="I413" t="n">
        <v>3.2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31869-2026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46231</v>
      </c>
      <c r="E414" s="1" t="n">
        <v>46312</v>
      </c>
      <c r="F414" t="inlineStr">
        <is>
          <t>VÄSTRA GÖTALANDS LÄN</t>
        </is>
      </c>
      <c r="G414" t="inlineStr">
        <is>
          <t>SVENLJUNGA</t>
        </is>
      </c>
      <c r="H414" t="inlineStr">
        <is>
          <t>Kyrkan</t>
        </is>
      </c>
      <c r="I414" t="n">
        <v>4.5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43618-2022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44837</v>
      </c>
      <c r="E415" s="1" t="n">
        <v>46312</v>
      </c>
      <c r="F415" t="inlineStr">
        <is>
          <t>VÄSTRA GÖTALANDS LÄN</t>
        </is>
      </c>
      <c r="G415" t="inlineStr">
        <is>
          <t>SVENLJUNGA</t>
        </is>
      </c>
      <c r="I415" t="n">
        <v>1.1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27888-2023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45098</v>
      </c>
      <c r="E416" s="1" t="n">
        <v>46312</v>
      </c>
      <c r="F416" t="inlineStr">
        <is>
          <t>VÄSTRA GÖTALANDS LÄN</t>
        </is>
      </c>
      <c r="G416" t="inlineStr">
        <is>
          <t>SVENLJUNGA</t>
        </is>
      </c>
      <c r="I416" t="n">
        <v>5.8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37795-2026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46279</v>
      </c>
      <c r="E417" s="1" t="n">
        <v>46312</v>
      </c>
      <c r="F417" t="inlineStr">
        <is>
          <t>VÄSTRA GÖTALANDS LÄN</t>
        </is>
      </c>
      <c r="G417" t="inlineStr">
        <is>
          <t>SVENLJUNGA</t>
        </is>
      </c>
      <c r="I417" t="n">
        <v>1.3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42357-2023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45180</v>
      </c>
      <c r="E418" s="1" t="n">
        <v>46312</v>
      </c>
      <c r="F418" t="inlineStr">
        <is>
          <t>VÄSTRA GÖTALANDS LÄN</t>
        </is>
      </c>
      <c r="G418" t="inlineStr">
        <is>
          <t>SVENLJUNGA</t>
        </is>
      </c>
      <c r="I418" t="n">
        <v>17.5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37797-2026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46279</v>
      </c>
      <c r="E419" s="1" t="n">
        <v>46312</v>
      </c>
      <c r="F419" t="inlineStr">
        <is>
          <t>VÄSTRA GÖTALANDS LÄN</t>
        </is>
      </c>
      <c r="G419" t="inlineStr">
        <is>
          <t>SVENLJUNGA</t>
        </is>
      </c>
      <c r="I419" t="n">
        <v>0.8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1741-2022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44574</v>
      </c>
      <c r="E420" s="1" t="n">
        <v>46312</v>
      </c>
      <c r="F420" t="inlineStr">
        <is>
          <t>VÄSTRA GÖTALANDS LÄN</t>
        </is>
      </c>
      <c r="G420" t="inlineStr">
        <is>
          <t>SVENLJUNGA</t>
        </is>
      </c>
      <c r="I420" t="n">
        <v>0.6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5988-2023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44964</v>
      </c>
      <c r="E421" s="1" t="n">
        <v>46312</v>
      </c>
      <c r="F421" t="inlineStr">
        <is>
          <t>VÄSTRA GÖTALANDS LÄN</t>
        </is>
      </c>
      <c r="G421" t="inlineStr">
        <is>
          <t>SVENLJUNGA</t>
        </is>
      </c>
      <c r="I421" t="n">
        <v>1.5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39707-2023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45167</v>
      </c>
      <c r="E422" s="1" t="n">
        <v>46312</v>
      </c>
      <c r="F422" t="inlineStr">
        <is>
          <t>VÄSTRA GÖTALANDS LÄN</t>
        </is>
      </c>
      <c r="G422" t="inlineStr">
        <is>
          <t>SVENLJUNGA</t>
        </is>
      </c>
      <c r="I422" t="n">
        <v>3.4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55206-2024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45621</v>
      </c>
      <c r="E423" s="1" t="n">
        <v>46312</v>
      </c>
      <c r="F423" t="inlineStr">
        <is>
          <t>VÄSTRA GÖTALANDS LÄN</t>
        </is>
      </c>
      <c r="G423" t="inlineStr">
        <is>
          <t>SVENLJUNGA</t>
        </is>
      </c>
      <c r="I423" t="n">
        <v>1.6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16383-2023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45029</v>
      </c>
      <c r="E424" s="1" t="n">
        <v>46312</v>
      </c>
      <c r="F424" t="inlineStr">
        <is>
          <t>VÄSTRA GÖTALANDS LÄN</t>
        </is>
      </c>
      <c r="G424" t="inlineStr">
        <is>
          <t>SVENLJUNGA</t>
        </is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9460-2023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44981</v>
      </c>
      <c r="E425" s="1" t="n">
        <v>46312</v>
      </c>
      <c r="F425" t="inlineStr">
        <is>
          <t>VÄSTRA GÖTALANDS LÄN</t>
        </is>
      </c>
      <c r="G425" t="inlineStr">
        <is>
          <t>SVENLJUNGA</t>
        </is>
      </c>
      <c r="I425" t="n">
        <v>12.7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37852-2022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44811</v>
      </c>
      <c r="E426" s="1" t="n">
        <v>46312</v>
      </c>
      <c r="F426" t="inlineStr">
        <is>
          <t>VÄSTRA GÖTALANDS LÄN</t>
        </is>
      </c>
      <c r="G426" t="inlineStr">
        <is>
          <t>SVENLJUNGA</t>
        </is>
      </c>
      <c r="I426" t="n">
        <v>1.9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10897-2024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45370</v>
      </c>
      <c r="E427" s="1" t="n">
        <v>46312</v>
      </c>
      <c r="F427" t="inlineStr">
        <is>
          <t>VÄSTRA GÖTALANDS LÄN</t>
        </is>
      </c>
      <c r="G427" t="inlineStr">
        <is>
          <t>SVENLJUNGA</t>
        </is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11410-2024</t>
        </is>
      </c>
      <c r="B428" t="inlineStr">
        <is>
          <t>avverkningsanmälan</t>
        </is>
      </c>
      <c r="C428" t="inlineStr">
        <is>
          <t>Avverkning för annat ändamål</t>
        </is>
      </c>
      <c r="D428" s="1" t="n">
        <v>45372</v>
      </c>
      <c r="E428" s="1" t="n">
        <v>46312</v>
      </c>
      <c r="F428" t="inlineStr">
        <is>
          <t>VÄSTRA GÖTALANDS LÄN</t>
        </is>
      </c>
      <c r="G428" t="inlineStr">
        <is>
          <t>SVENLJUNGA</t>
        </is>
      </c>
      <c r="I428" t="n">
        <v>1.5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38394-2026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46282</v>
      </c>
      <c r="E429" s="1" t="n">
        <v>46312</v>
      </c>
      <c r="F429" t="inlineStr">
        <is>
          <t>VÄSTRA GÖTALANDS LÄN</t>
        </is>
      </c>
      <c r="G429" t="inlineStr">
        <is>
          <t>SVENLJUNGA</t>
        </is>
      </c>
      <c r="I429" t="n">
        <v>2.9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23343-2024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45453</v>
      </c>
      <c r="E430" s="1" t="n">
        <v>46312</v>
      </c>
      <c r="F430" t="inlineStr">
        <is>
          <t>VÄSTRA GÖTALANDS LÄN</t>
        </is>
      </c>
      <c r="G430" t="inlineStr">
        <is>
          <t>SVENLJUNGA</t>
        </is>
      </c>
      <c r="I430" t="n">
        <v>2.1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52234-2023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45224</v>
      </c>
      <c r="E431" s="1" t="n">
        <v>46312</v>
      </c>
      <c r="F431" t="inlineStr">
        <is>
          <t>VÄSTRA GÖTALANDS LÄN</t>
        </is>
      </c>
      <c r="G431" t="inlineStr">
        <is>
          <t>SVENLJUNGA</t>
        </is>
      </c>
      <c r="I431" t="n">
        <v>0.8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57324-2023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45245</v>
      </c>
      <c r="E432" s="1" t="n">
        <v>46312</v>
      </c>
      <c r="F432" t="inlineStr">
        <is>
          <t>VÄSTRA GÖTALANDS LÄN</t>
        </is>
      </c>
      <c r="G432" t="inlineStr">
        <is>
          <t>SVENLJUNGA</t>
        </is>
      </c>
      <c r="I432" t="n">
        <v>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52027-2023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45223</v>
      </c>
      <c r="E433" s="1" t="n">
        <v>46312</v>
      </c>
      <c r="F433" t="inlineStr">
        <is>
          <t>VÄSTRA GÖTALANDS LÄN</t>
        </is>
      </c>
      <c r="G433" t="inlineStr">
        <is>
          <t>SVENLJUNGA</t>
        </is>
      </c>
      <c r="I433" t="n">
        <v>3.1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20975-2023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45056</v>
      </c>
      <c r="E434" s="1" t="n">
        <v>46312</v>
      </c>
      <c r="F434" t="inlineStr">
        <is>
          <t>VÄSTRA GÖTALANDS LÄN</t>
        </is>
      </c>
      <c r="G434" t="inlineStr">
        <is>
          <t>SVENLJUNGA</t>
        </is>
      </c>
      <c r="I434" t="n">
        <v>3.3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5016-2023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44958</v>
      </c>
      <c r="E435" s="1" t="n">
        <v>46312</v>
      </c>
      <c r="F435" t="inlineStr">
        <is>
          <t>VÄSTRA GÖTALANDS LÄN</t>
        </is>
      </c>
      <c r="G435" t="inlineStr">
        <is>
          <t>SVENLJUNGA</t>
        </is>
      </c>
      <c r="I435" t="n">
        <v>2.1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38743-2026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46286</v>
      </c>
      <c r="E436" s="1" t="n">
        <v>46312</v>
      </c>
      <c r="F436" t="inlineStr">
        <is>
          <t>VÄSTRA GÖTALANDS LÄN</t>
        </is>
      </c>
      <c r="G436" t="inlineStr">
        <is>
          <t>SVENLJUNGA</t>
        </is>
      </c>
      <c r="I436" t="n">
        <v>1.1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38745-2026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46286</v>
      </c>
      <c r="E437" s="1" t="n">
        <v>46312</v>
      </c>
      <c r="F437" t="inlineStr">
        <is>
          <t>VÄSTRA GÖTALANDS LÄN</t>
        </is>
      </c>
      <c r="G437" t="inlineStr">
        <is>
          <t>SVENLJUNGA</t>
        </is>
      </c>
      <c r="I437" t="n">
        <v>0.6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29811-2024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45485</v>
      </c>
      <c r="E438" s="1" t="n">
        <v>46312</v>
      </c>
      <c r="F438" t="inlineStr">
        <is>
          <t>VÄSTRA GÖTALANDS LÄN</t>
        </is>
      </c>
      <c r="G438" t="inlineStr">
        <is>
          <t>SVENLJUNGA</t>
        </is>
      </c>
      <c r="I438" t="n">
        <v>5.7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43877-2024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45572</v>
      </c>
      <c r="E439" s="1" t="n">
        <v>46312</v>
      </c>
      <c r="F439" t="inlineStr">
        <is>
          <t>VÄSTRA GÖTALANDS LÄN</t>
        </is>
      </c>
      <c r="G439" t="inlineStr">
        <is>
          <t>SVENLJUNGA</t>
        </is>
      </c>
      <c r="I439" t="n">
        <v>0.7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4157-2023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44953</v>
      </c>
      <c r="E440" s="1" t="n">
        <v>46312</v>
      </c>
      <c r="F440" t="inlineStr">
        <is>
          <t>VÄSTRA GÖTALANDS LÄN</t>
        </is>
      </c>
      <c r="G440" t="inlineStr">
        <is>
          <t>SVENLJUNGA</t>
        </is>
      </c>
      <c r="I440" t="n">
        <v>0.9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13777-2024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45391</v>
      </c>
      <c r="E441" s="1" t="n">
        <v>46312</v>
      </c>
      <c r="F441" t="inlineStr">
        <is>
          <t>VÄSTRA GÖTALANDS LÄN</t>
        </is>
      </c>
      <c r="G441" t="inlineStr">
        <is>
          <t>SVENLJUNGA</t>
        </is>
      </c>
      <c r="I441" t="n">
        <v>1.3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39531-2026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46289</v>
      </c>
      <c r="E442" s="1" t="n">
        <v>46312</v>
      </c>
      <c r="F442" t="inlineStr">
        <is>
          <t>VÄSTRA GÖTALANDS LÄN</t>
        </is>
      </c>
      <c r="G442" t="inlineStr">
        <is>
          <t>SVENLJUNGA</t>
        </is>
      </c>
      <c r="I442" t="n">
        <v>7.3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27535-2024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45474</v>
      </c>
      <c r="E443" s="1" t="n">
        <v>46312</v>
      </c>
      <c r="F443" t="inlineStr">
        <is>
          <t>VÄSTRA GÖTALANDS LÄN</t>
        </is>
      </c>
      <c r="G443" t="inlineStr">
        <is>
          <t>SVENLJUNGA</t>
        </is>
      </c>
      <c r="I443" t="n">
        <v>1.9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19869-2024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45433</v>
      </c>
      <c r="E444" s="1" t="n">
        <v>46312</v>
      </c>
      <c r="F444" t="inlineStr">
        <is>
          <t>VÄSTRA GÖTALANDS LÄN</t>
        </is>
      </c>
      <c r="G444" t="inlineStr">
        <is>
          <t>SVENLJUNGA</t>
        </is>
      </c>
      <c r="I444" t="n">
        <v>1.4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11373-2025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45726</v>
      </c>
      <c r="E445" s="1" t="n">
        <v>46312</v>
      </c>
      <c r="F445" t="inlineStr">
        <is>
          <t>VÄSTRA GÖTALANDS LÄN</t>
        </is>
      </c>
      <c r="G445" t="inlineStr">
        <is>
          <t>SVENLJUNGA</t>
        </is>
      </c>
      <c r="I445" t="n">
        <v>2.1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41799-2023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45176</v>
      </c>
      <c r="E446" s="1" t="n">
        <v>46312</v>
      </c>
      <c r="F446" t="inlineStr">
        <is>
          <t>VÄSTRA GÖTALANDS LÄN</t>
        </is>
      </c>
      <c r="G446" t="inlineStr">
        <is>
          <t>SVENLJUNGA</t>
        </is>
      </c>
      <c r="I446" t="n">
        <v>1.2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52375-2024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45609</v>
      </c>
      <c r="E447" s="1" t="n">
        <v>46312</v>
      </c>
      <c r="F447" t="inlineStr">
        <is>
          <t>VÄSTRA GÖTALANDS LÄN</t>
        </is>
      </c>
      <c r="G447" t="inlineStr">
        <is>
          <t>SVENLJUNGA</t>
        </is>
      </c>
      <c r="I447" t="n">
        <v>2.5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10517-2023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44987</v>
      </c>
      <c r="E448" s="1" t="n">
        <v>46312</v>
      </c>
      <c r="F448" t="inlineStr">
        <is>
          <t>VÄSTRA GÖTALANDS LÄN</t>
        </is>
      </c>
      <c r="G448" t="inlineStr">
        <is>
          <t>SVENLJUNGA</t>
        </is>
      </c>
      <c r="I448" t="n">
        <v>9.9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10379-2025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45720</v>
      </c>
      <c r="E449" s="1" t="n">
        <v>46312</v>
      </c>
      <c r="F449" t="inlineStr">
        <is>
          <t>VÄSTRA GÖTALANDS LÄN</t>
        </is>
      </c>
      <c r="G449" t="inlineStr">
        <is>
          <t>SVENLJUNGA</t>
        </is>
      </c>
      <c r="I449" t="n">
        <v>0.8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40112-2026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46293</v>
      </c>
      <c r="E450" s="1" t="n">
        <v>46312</v>
      </c>
      <c r="F450" t="inlineStr">
        <is>
          <t>VÄSTRA GÖTALANDS LÄN</t>
        </is>
      </c>
      <c r="G450" t="inlineStr">
        <is>
          <t>SVENLJUNGA</t>
        </is>
      </c>
      <c r="I450" t="n">
        <v>2.1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47860-2022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44855</v>
      </c>
      <c r="E451" s="1" t="n">
        <v>46312</v>
      </c>
      <c r="F451" t="inlineStr">
        <is>
          <t>VÄSTRA GÖTALANDS LÄN</t>
        </is>
      </c>
      <c r="G451" t="inlineStr">
        <is>
          <t>SVENLJUNGA</t>
        </is>
      </c>
      <c r="I451" t="n">
        <v>4.3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6875-2023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44964</v>
      </c>
      <c r="E452" s="1" t="n">
        <v>46312</v>
      </c>
      <c r="F452" t="inlineStr">
        <is>
          <t>VÄSTRA GÖTALANDS LÄN</t>
        </is>
      </c>
      <c r="G452" t="inlineStr">
        <is>
          <t>SVENLJUNGA</t>
        </is>
      </c>
      <c r="H452" t="inlineStr">
        <is>
          <t>Kyrkan</t>
        </is>
      </c>
      <c r="I452" t="n">
        <v>2.4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5983-2023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44964</v>
      </c>
      <c r="E453" s="1" t="n">
        <v>46312</v>
      </c>
      <c r="F453" t="inlineStr">
        <is>
          <t>VÄSTRA GÖTALANDS LÄN</t>
        </is>
      </c>
      <c r="G453" t="inlineStr">
        <is>
          <t>SVENLJUNGA</t>
        </is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37907-2024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45544</v>
      </c>
      <c r="E454" s="1" t="n">
        <v>46312</v>
      </c>
      <c r="F454" t="inlineStr">
        <is>
          <t>VÄSTRA GÖTALANDS LÄN</t>
        </is>
      </c>
      <c r="G454" t="inlineStr">
        <is>
          <t>SVENLJUNGA</t>
        </is>
      </c>
      <c r="I454" t="n">
        <v>2.4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32748-2024</t>
        </is>
      </c>
      <c r="B455" t="inlineStr">
        <is>
          <t>avverkningsanmälan</t>
        </is>
      </c>
      <c r="C455" t="inlineStr">
        <is>
          <t>Avverkning för annat ändamål</t>
        </is>
      </c>
      <c r="D455" s="1" t="n">
        <v>45516</v>
      </c>
      <c r="E455" s="1" t="n">
        <v>46312</v>
      </c>
      <c r="F455" t="inlineStr">
        <is>
          <t>VÄSTRA GÖTALANDS LÄN</t>
        </is>
      </c>
      <c r="G455" t="inlineStr">
        <is>
          <t>SVENLJUNGA</t>
        </is>
      </c>
      <c r="H455" t="inlineStr">
        <is>
          <t>Kommuner</t>
        </is>
      </c>
      <c r="I455" t="n">
        <v>0.3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24438-2023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45082</v>
      </c>
      <c r="E456" s="1" t="n">
        <v>46312</v>
      </c>
      <c r="F456" t="inlineStr">
        <is>
          <t>VÄSTRA GÖTALANDS LÄN</t>
        </is>
      </c>
      <c r="G456" t="inlineStr">
        <is>
          <t>SVENLJUNGA</t>
        </is>
      </c>
      <c r="H456" t="inlineStr">
        <is>
          <t>Kommuner</t>
        </is>
      </c>
      <c r="I456" t="n">
        <v>0.5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30444-2024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45491</v>
      </c>
      <c r="E457" s="1" t="n">
        <v>46312</v>
      </c>
      <c r="F457" t="inlineStr">
        <is>
          <t>VÄSTRA GÖTALANDS LÄN</t>
        </is>
      </c>
      <c r="G457" t="inlineStr">
        <is>
          <t>SVENLJUNGA</t>
        </is>
      </c>
      <c r="I457" t="n">
        <v>0.6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3647-2023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44950</v>
      </c>
      <c r="E458" s="1" t="n">
        <v>46312</v>
      </c>
      <c r="F458" t="inlineStr">
        <is>
          <t>VÄSTRA GÖTALANDS LÄN</t>
        </is>
      </c>
      <c r="G458" t="inlineStr">
        <is>
          <t>SVENLJUNGA</t>
        </is>
      </c>
      <c r="I458" t="n">
        <v>5.8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40329-2026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46294</v>
      </c>
      <c r="E459" s="1" t="n">
        <v>46312</v>
      </c>
      <c r="F459" t="inlineStr">
        <is>
          <t>VÄSTRA GÖTALANDS LÄN</t>
        </is>
      </c>
      <c r="G459" t="inlineStr">
        <is>
          <t>SVENLJUNGA</t>
        </is>
      </c>
      <c r="I459" t="n">
        <v>1.1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38744-2026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46286</v>
      </c>
      <c r="E460" s="1" t="n">
        <v>46312</v>
      </c>
      <c r="F460" t="inlineStr">
        <is>
          <t>VÄSTRA GÖTALANDS LÄN</t>
        </is>
      </c>
      <c r="G460" t="inlineStr">
        <is>
          <t>SVENLJUNGA</t>
        </is>
      </c>
      <c r="I460" t="n">
        <v>0.7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40331-2026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46294</v>
      </c>
      <c r="E461" s="1" t="n">
        <v>46312</v>
      </c>
      <c r="F461" t="inlineStr">
        <is>
          <t>VÄSTRA GÖTALANDS LÄN</t>
        </is>
      </c>
      <c r="G461" t="inlineStr">
        <is>
          <t>SVENLJUNGA</t>
        </is>
      </c>
      <c r="I461" t="n">
        <v>0.8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15344-2024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45400</v>
      </c>
      <c r="E462" s="1" t="n">
        <v>46312</v>
      </c>
      <c r="F462" t="inlineStr">
        <is>
          <t>VÄSTRA GÖTALANDS LÄN</t>
        </is>
      </c>
      <c r="G462" t="inlineStr">
        <is>
          <t>SVENLJUNGA</t>
        </is>
      </c>
      <c r="I462" t="n">
        <v>1.7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46637-2022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44849</v>
      </c>
      <c r="E463" s="1" t="n">
        <v>46312</v>
      </c>
      <c r="F463" t="inlineStr">
        <is>
          <t>VÄSTRA GÖTALANDS LÄN</t>
        </is>
      </c>
      <c r="G463" t="inlineStr">
        <is>
          <t>SVENLJUNGA</t>
        </is>
      </c>
      <c r="I463" t="n">
        <v>12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33831-2026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46251</v>
      </c>
      <c r="E464" s="1" t="n">
        <v>46312</v>
      </c>
      <c r="F464" t="inlineStr">
        <is>
          <t>VÄSTRA GÖTALANDS LÄN</t>
        </is>
      </c>
      <c r="G464" t="inlineStr">
        <is>
          <t>SVENLJUNGA</t>
        </is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33119-2022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44785</v>
      </c>
      <c r="E465" s="1" t="n">
        <v>46312</v>
      </c>
      <c r="F465" t="inlineStr">
        <is>
          <t>VÄSTRA GÖTALANDS LÄN</t>
        </is>
      </c>
      <c r="G465" t="inlineStr">
        <is>
          <t>SVENLJUNGA</t>
        </is>
      </c>
      <c r="I465" t="n">
        <v>4.9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13540-2025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45736</v>
      </c>
      <c r="E466" s="1" t="n">
        <v>46312</v>
      </c>
      <c r="F466" t="inlineStr">
        <is>
          <t>VÄSTRA GÖTALANDS LÄN</t>
        </is>
      </c>
      <c r="G466" t="inlineStr">
        <is>
          <t>SVENLJUNGA</t>
        </is>
      </c>
      <c r="I466" t="n">
        <v>3.8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34165-2026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46253</v>
      </c>
      <c r="E467" s="1" t="n">
        <v>46312</v>
      </c>
      <c r="F467" t="inlineStr">
        <is>
          <t>VÄSTRA GÖTALANDS LÄN</t>
        </is>
      </c>
      <c r="G467" t="inlineStr">
        <is>
          <t>SVENLJUNGA</t>
        </is>
      </c>
      <c r="I467" t="n">
        <v>3.3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49595-2023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45211</v>
      </c>
      <c r="E468" s="1" t="n">
        <v>46312</v>
      </c>
      <c r="F468" t="inlineStr">
        <is>
          <t>VÄSTRA GÖTALANDS LÄN</t>
        </is>
      </c>
      <c r="G468" t="inlineStr">
        <is>
          <t>SVENLJUNGA</t>
        </is>
      </c>
      <c r="H468" t="inlineStr">
        <is>
          <t>Kommuner</t>
        </is>
      </c>
      <c r="I468" t="n">
        <v>3.5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34457-2026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46254</v>
      </c>
      <c r="E469" s="1" t="n">
        <v>46312</v>
      </c>
      <c r="F469" t="inlineStr">
        <is>
          <t>VÄSTRA GÖTALANDS LÄN</t>
        </is>
      </c>
      <c r="G469" t="inlineStr">
        <is>
          <t>SVENLJUNGA</t>
        </is>
      </c>
      <c r="I469" t="n">
        <v>1.4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34135-2026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46253</v>
      </c>
      <c r="E470" s="1" t="n">
        <v>46312</v>
      </c>
      <c r="F470" t="inlineStr">
        <is>
          <t>VÄSTRA GÖTALANDS LÄN</t>
        </is>
      </c>
      <c r="G470" t="inlineStr">
        <is>
          <t>SVENLJUNGA</t>
        </is>
      </c>
      <c r="I470" t="n">
        <v>1.6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34455-2026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46254</v>
      </c>
      <c r="E471" s="1" t="n">
        <v>46312</v>
      </c>
      <c r="F471" t="inlineStr">
        <is>
          <t>VÄSTRA GÖTALANDS LÄN</t>
        </is>
      </c>
      <c r="G471" t="inlineStr">
        <is>
          <t>SVENLJUNGA</t>
        </is>
      </c>
      <c r="I471" t="n">
        <v>0.5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40992-2026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46297</v>
      </c>
      <c r="E472" s="1" t="n">
        <v>46312</v>
      </c>
      <c r="F472" t="inlineStr">
        <is>
          <t>VÄSTRA GÖTALANDS LÄN</t>
        </is>
      </c>
      <c r="G472" t="inlineStr">
        <is>
          <t>SVENLJUNGA</t>
        </is>
      </c>
      <c r="I472" t="n">
        <v>2.2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13024-2025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45734</v>
      </c>
      <c r="E473" s="1" t="n">
        <v>46312</v>
      </c>
      <c r="F473" t="inlineStr">
        <is>
          <t>VÄSTRA GÖTALANDS LÄN</t>
        </is>
      </c>
      <c r="G473" t="inlineStr">
        <is>
          <t>SVENLJUNGA</t>
        </is>
      </c>
      <c r="I473" t="n">
        <v>3.4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26487-2026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46183</v>
      </c>
      <c r="E474" s="1" t="n">
        <v>46312</v>
      </c>
      <c r="F474" t="inlineStr">
        <is>
          <t>VÄSTRA GÖTALANDS LÄN</t>
        </is>
      </c>
      <c r="G474" t="inlineStr">
        <is>
          <t>SVENLJUNGA</t>
        </is>
      </c>
      <c r="H474" t="inlineStr">
        <is>
          <t>Kyrkan</t>
        </is>
      </c>
      <c r="I474" t="n">
        <v>5.4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28962-2026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46199</v>
      </c>
      <c r="E475" s="1" t="n">
        <v>46312</v>
      </c>
      <c r="F475" t="inlineStr">
        <is>
          <t>VÄSTRA GÖTALANDS LÄN</t>
        </is>
      </c>
      <c r="G475" t="inlineStr">
        <is>
          <t>SVENLJUNGA</t>
        </is>
      </c>
      <c r="I475" t="n">
        <v>1.4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7607-2025</t>
        </is>
      </c>
      <c r="B476" t="inlineStr">
        <is>
          <t>avverkningsanmälan</t>
        </is>
      </c>
      <c r="C476" t="inlineStr">
        <is>
          <t>Avverkning för annat ändamål</t>
        </is>
      </c>
      <c r="D476" s="1" t="n">
        <v>45705</v>
      </c>
      <c r="E476" s="1" t="n">
        <v>46312</v>
      </c>
      <c r="F476" t="inlineStr">
        <is>
          <t>VÄSTRA GÖTALANDS LÄN</t>
        </is>
      </c>
      <c r="G476" t="inlineStr">
        <is>
          <t>SVENLJUNGA</t>
        </is>
      </c>
      <c r="I476" t="n">
        <v>7.5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41553-2026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46301</v>
      </c>
      <c r="E477" s="1" t="n">
        <v>46312</v>
      </c>
      <c r="F477" t="inlineStr">
        <is>
          <t>VÄSTRA GÖTALANDS LÄN</t>
        </is>
      </c>
      <c r="G477" t="inlineStr">
        <is>
          <t>SVENLJUNGA</t>
        </is>
      </c>
      <c r="I477" t="n">
        <v>1.6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41558-2026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46301</v>
      </c>
      <c r="E478" s="1" t="n">
        <v>46312</v>
      </c>
      <c r="F478" t="inlineStr">
        <is>
          <t>VÄSTRA GÖTALANDS LÄN</t>
        </is>
      </c>
      <c r="G478" t="inlineStr">
        <is>
          <t>SVENLJUNGA</t>
        </is>
      </c>
      <c r="I478" t="n">
        <v>3.8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6715-2024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45342</v>
      </c>
      <c r="E479" s="1" t="n">
        <v>46312</v>
      </c>
      <c r="F479" t="inlineStr">
        <is>
          <t>VÄSTRA GÖTALANDS LÄN</t>
        </is>
      </c>
      <c r="G479" t="inlineStr">
        <is>
          <t>SVENLJUNGA</t>
        </is>
      </c>
      <c r="I479" t="n">
        <v>8.800000000000001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33921-2024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45523</v>
      </c>
      <c r="E480" s="1" t="n">
        <v>46312</v>
      </c>
      <c r="F480" t="inlineStr">
        <is>
          <t>VÄSTRA GÖTALANDS LÄN</t>
        </is>
      </c>
      <c r="G480" t="inlineStr">
        <is>
          <t>SVENLJUNGA</t>
        </is>
      </c>
      <c r="I480" t="n">
        <v>2.4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21943-2025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45784</v>
      </c>
      <c r="E481" s="1" t="n">
        <v>46312</v>
      </c>
      <c r="F481" t="inlineStr">
        <is>
          <t>VÄSTRA GÖTALANDS LÄN</t>
        </is>
      </c>
      <c r="G481" t="inlineStr">
        <is>
          <t>SVENLJUNGA</t>
        </is>
      </c>
      <c r="I481" t="n">
        <v>1.2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25135-2023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45086</v>
      </c>
      <c r="E482" s="1" t="n">
        <v>46312</v>
      </c>
      <c r="F482" t="inlineStr">
        <is>
          <t>VÄSTRA GÖTALANDS LÄN</t>
        </is>
      </c>
      <c r="G482" t="inlineStr">
        <is>
          <t>SVENLJUNGA</t>
        </is>
      </c>
      <c r="I482" t="n">
        <v>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32347-2023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45120</v>
      </c>
      <c r="E483" s="1" t="n">
        <v>46312</v>
      </c>
      <c r="F483" t="inlineStr">
        <is>
          <t>VÄSTRA GÖTALANDS LÄN</t>
        </is>
      </c>
      <c r="G483" t="inlineStr">
        <is>
          <t>SVENLJUNGA</t>
        </is>
      </c>
      <c r="I483" t="n">
        <v>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21945-2025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45784</v>
      </c>
      <c r="E484" s="1" t="n">
        <v>46312</v>
      </c>
      <c r="F484" t="inlineStr">
        <is>
          <t>VÄSTRA GÖTALANDS LÄN</t>
        </is>
      </c>
      <c r="G484" t="inlineStr">
        <is>
          <t>SVENLJUNGA</t>
        </is>
      </c>
      <c r="I484" t="n">
        <v>0.7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57141-2024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45629</v>
      </c>
      <c r="E485" s="1" t="n">
        <v>46312</v>
      </c>
      <c r="F485" t="inlineStr">
        <is>
          <t>VÄSTRA GÖTALANDS LÄN</t>
        </is>
      </c>
      <c r="G485" t="inlineStr">
        <is>
          <t>SVENLJUNGA</t>
        </is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35137-2026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46260</v>
      </c>
      <c r="E486" s="1" t="n">
        <v>46312</v>
      </c>
      <c r="F486" t="inlineStr">
        <is>
          <t>VÄSTRA GÖTALANDS LÄN</t>
        </is>
      </c>
      <c r="G486" t="inlineStr">
        <is>
          <t>SVENLJUNGA</t>
        </is>
      </c>
      <c r="I486" t="n">
        <v>1.8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12785-2024</t>
        </is>
      </c>
      <c r="B487" t="inlineStr">
        <is>
          <t>avverkningsanmälan</t>
        </is>
      </c>
      <c r="C487" t="inlineStr">
        <is>
          <t>Avverkning för annat ändamål</t>
        </is>
      </c>
      <c r="D487" s="1" t="n">
        <v>45384</v>
      </c>
      <c r="E487" s="1" t="n">
        <v>46312</v>
      </c>
      <c r="F487" t="inlineStr">
        <is>
          <t>VÄSTRA GÖTALANDS LÄN</t>
        </is>
      </c>
      <c r="G487" t="inlineStr">
        <is>
          <t>SVENLJUNGA</t>
        </is>
      </c>
      <c r="I487" t="n">
        <v>6.5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43879-2024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45572</v>
      </c>
      <c r="E488" s="1" t="n">
        <v>46312</v>
      </c>
      <c r="F488" t="inlineStr">
        <is>
          <t>VÄSTRA GÖTALANDS LÄN</t>
        </is>
      </c>
      <c r="G488" t="inlineStr">
        <is>
          <t>SVENLJUNGA</t>
        </is>
      </c>
      <c r="I488" t="n">
        <v>0.9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34947-2026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46259</v>
      </c>
      <c r="E489" s="1" t="n">
        <v>46312</v>
      </c>
      <c r="F489" t="inlineStr">
        <is>
          <t>VÄSTRA GÖTALANDS LÄN</t>
        </is>
      </c>
      <c r="G489" t="inlineStr">
        <is>
          <t>SVENLJUNGA</t>
        </is>
      </c>
      <c r="I489" t="n">
        <v>0.5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35496-2024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45531</v>
      </c>
      <c r="E490" s="1" t="n">
        <v>46312</v>
      </c>
      <c r="F490" t="inlineStr">
        <is>
          <t>VÄSTRA GÖTALANDS LÄN</t>
        </is>
      </c>
      <c r="G490" t="inlineStr">
        <is>
          <t>SVENLJUNGA</t>
        </is>
      </c>
      <c r="I490" t="n">
        <v>0.9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23349-2025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45791</v>
      </c>
      <c r="E491" s="1" t="n">
        <v>46312</v>
      </c>
      <c r="F491" t="inlineStr">
        <is>
          <t>VÄSTRA GÖTALANDS LÄN</t>
        </is>
      </c>
      <c r="G491" t="inlineStr">
        <is>
          <t>SVENLJUNGA</t>
        </is>
      </c>
      <c r="I491" t="n">
        <v>2.1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61961-2023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45266</v>
      </c>
      <c r="E492" s="1" t="n">
        <v>46312</v>
      </c>
      <c r="F492" t="inlineStr">
        <is>
          <t>VÄSTRA GÖTALANDS LÄN</t>
        </is>
      </c>
      <c r="G492" t="inlineStr">
        <is>
          <t>SVENLJUNGA</t>
        </is>
      </c>
      <c r="I492" t="n">
        <v>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23348-2025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45791</v>
      </c>
      <c r="E493" s="1" t="n">
        <v>46312</v>
      </c>
      <c r="F493" t="inlineStr">
        <is>
          <t>VÄSTRA GÖTALANDS LÄN</t>
        </is>
      </c>
      <c r="G493" t="inlineStr">
        <is>
          <t>SVENLJUNGA</t>
        </is>
      </c>
      <c r="I493" t="n">
        <v>3.2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41240-2024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45559</v>
      </c>
      <c r="E494" s="1" t="n">
        <v>46312</v>
      </c>
      <c r="F494" t="inlineStr">
        <is>
          <t>VÄSTRA GÖTALANDS LÄN</t>
        </is>
      </c>
      <c r="G494" t="inlineStr">
        <is>
          <t>SVENLJUNGA</t>
        </is>
      </c>
      <c r="I494" t="n">
        <v>3.6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42221-2026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46306</v>
      </c>
      <c r="E495" s="1" t="n">
        <v>46312</v>
      </c>
      <c r="F495" t="inlineStr">
        <is>
          <t>VÄSTRA GÖTALANDS LÄN</t>
        </is>
      </c>
      <c r="G495" t="inlineStr">
        <is>
          <t>SVENLJUNGA</t>
        </is>
      </c>
      <c r="I495" t="n">
        <v>1.1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44033-2023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45182</v>
      </c>
      <c r="E496" s="1" t="n">
        <v>46312</v>
      </c>
      <c r="F496" t="inlineStr">
        <is>
          <t>VÄSTRA GÖTALANDS LÄN</t>
        </is>
      </c>
      <c r="G496" t="inlineStr">
        <is>
          <t>SVENLJUNGA</t>
        </is>
      </c>
      <c r="H496" t="inlineStr">
        <is>
          <t>Kyrkan</t>
        </is>
      </c>
      <c r="I496" t="n">
        <v>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49441-2023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45211</v>
      </c>
      <c r="E497" s="1" t="n">
        <v>46312</v>
      </c>
      <c r="F497" t="inlineStr">
        <is>
          <t>VÄSTRA GÖTALANDS LÄN</t>
        </is>
      </c>
      <c r="G497" t="inlineStr">
        <is>
          <t>SVENLJUNGA</t>
        </is>
      </c>
      <c r="I497" t="n">
        <v>2.4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42122-2026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46304</v>
      </c>
      <c r="E498" s="1" t="n">
        <v>46312</v>
      </c>
      <c r="F498" t="inlineStr">
        <is>
          <t>VÄSTRA GÖTALANDS LÄN</t>
        </is>
      </c>
      <c r="G498" t="inlineStr">
        <is>
          <t>SVENLJUNGA</t>
        </is>
      </c>
      <c r="I498" t="n">
        <v>4.5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42129-2026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46304</v>
      </c>
      <c r="E499" s="1" t="n">
        <v>46312</v>
      </c>
      <c r="F499" t="inlineStr">
        <is>
          <t>VÄSTRA GÖTALANDS LÄN</t>
        </is>
      </c>
      <c r="G499" t="inlineStr">
        <is>
          <t>SVENLJUNGA</t>
        </is>
      </c>
      <c r="I499" t="n">
        <v>2.4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12961-2026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46092</v>
      </c>
      <c r="E500" s="1" t="n">
        <v>46312</v>
      </c>
      <c r="F500" t="inlineStr">
        <is>
          <t>VÄSTRA GÖTALANDS LÄN</t>
        </is>
      </c>
      <c r="G500" t="inlineStr">
        <is>
          <t>SVENLJUNGA</t>
        </is>
      </c>
      <c r="H500" t="inlineStr">
        <is>
          <t>Sveaskog</t>
        </is>
      </c>
      <c r="I500" t="n">
        <v>1.2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34943-2026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46259</v>
      </c>
      <c r="E501" s="1" t="n">
        <v>46312</v>
      </c>
      <c r="F501" t="inlineStr">
        <is>
          <t>VÄSTRA GÖTALANDS LÄN</t>
        </is>
      </c>
      <c r="G501" t="inlineStr">
        <is>
          <t>SVENLJUNGA</t>
        </is>
      </c>
      <c r="I501" t="n">
        <v>1.4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26615-2025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45810</v>
      </c>
      <c r="E502" s="1" t="n">
        <v>46312</v>
      </c>
      <c r="F502" t="inlineStr">
        <is>
          <t>VÄSTRA GÖTALANDS LÄN</t>
        </is>
      </c>
      <c r="G502" t="inlineStr">
        <is>
          <t>SVENLJUNGA</t>
        </is>
      </c>
      <c r="I502" t="n">
        <v>5.4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26616-2025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45810</v>
      </c>
      <c r="E503" s="1" t="n">
        <v>46312</v>
      </c>
      <c r="F503" t="inlineStr">
        <is>
          <t>VÄSTRA GÖTALANDS LÄN</t>
        </is>
      </c>
      <c r="G503" t="inlineStr">
        <is>
          <t>SVENLJUNGA</t>
        </is>
      </c>
      <c r="I503" t="n">
        <v>1.6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36592-2026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46269</v>
      </c>
      <c r="E504" s="1" t="n">
        <v>46312</v>
      </c>
      <c r="F504" t="inlineStr">
        <is>
          <t>VÄSTRA GÖTALANDS LÄN</t>
        </is>
      </c>
      <c r="G504" t="inlineStr">
        <is>
          <t>SVENLJUNGA</t>
        </is>
      </c>
      <c r="I504" t="n">
        <v>2.3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36117-2026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46267</v>
      </c>
      <c r="E505" s="1" t="n">
        <v>46312</v>
      </c>
      <c r="F505" t="inlineStr">
        <is>
          <t>VÄSTRA GÖTALANDS LÄN</t>
        </is>
      </c>
      <c r="G505" t="inlineStr">
        <is>
          <t>SVENLJUNGA</t>
        </is>
      </c>
      <c r="I505" t="n">
        <v>1.4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27724-2025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45814</v>
      </c>
      <c r="E506" s="1" t="n">
        <v>46312</v>
      </c>
      <c r="F506" t="inlineStr">
        <is>
          <t>VÄSTRA GÖTALANDS LÄN</t>
        </is>
      </c>
      <c r="G506" t="inlineStr">
        <is>
          <t>SVENLJUNGA</t>
        </is>
      </c>
      <c r="I506" t="n">
        <v>4.2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36120-2026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46267</v>
      </c>
      <c r="E507" s="1" t="n">
        <v>46312</v>
      </c>
      <c r="F507" t="inlineStr">
        <is>
          <t>VÄSTRA GÖTALANDS LÄN</t>
        </is>
      </c>
      <c r="G507" t="inlineStr">
        <is>
          <t>SVENLJUNGA</t>
        </is>
      </c>
      <c r="I507" t="n">
        <v>0.9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11239-2025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45726</v>
      </c>
      <c r="E508" s="1" t="n">
        <v>46312</v>
      </c>
      <c r="F508" t="inlineStr">
        <is>
          <t>VÄSTRA GÖTALANDS LÄN</t>
        </is>
      </c>
      <c r="G508" t="inlineStr">
        <is>
          <t>SVENLJUNGA</t>
        </is>
      </c>
      <c r="I508" t="n">
        <v>3.5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36116-2026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46267</v>
      </c>
      <c r="E509" s="1" t="n">
        <v>46312</v>
      </c>
      <c r="F509" t="inlineStr">
        <is>
          <t>VÄSTRA GÖTALANDS LÄN</t>
        </is>
      </c>
      <c r="G509" t="inlineStr">
        <is>
          <t>SVENLJUNGA</t>
        </is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28805-2025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45820</v>
      </c>
      <c r="E510" s="1" t="n">
        <v>46312</v>
      </c>
      <c r="F510" t="inlineStr">
        <is>
          <t>VÄSTRA GÖTALANDS LÄN</t>
        </is>
      </c>
      <c r="G510" t="inlineStr">
        <is>
          <t>SVENLJUNGA</t>
        </is>
      </c>
      <c r="I510" t="n">
        <v>1.4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29342-2025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45824</v>
      </c>
      <c r="E511" s="1" t="n">
        <v>46312</v>
      </c>
      <c r="F511" t="inlineStr">
        <is>
          <t>VÄSTRA GÖTALANDS LÄN</t>
        </is>
      </c>
      <c r="G511" t="inlineStr">
        <is>
          <t>SVENLJUNGA</t>
        </is>
      </c>
      <c r="I511" t="n">
        <v>0.8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29345-2025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45824</v>
      </c>
      <c r="E512" s="1" t="n">
        <v>46312</v>
      </c>
      <c r="F512" t="inlineStr">
        <is>
          <t>VÄSTRA GÖTALANDS LÄN</t>
        </is>
      </c>
      <c r="G512" t="inlineStr">
        <is>
          <t>SVENLJUNGA</t>
        </is>
      </c>
      <c r="I512" t="n">
        <v>1.6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29619-2025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45825</v>
      </c>
      <c r="E513" s="1" t="n">
        <v>46312</v>
      </c>
      <c r="F513" t="inlineStr">
        <is>
          <t>VÄSTRA GÖTALANDS LÄN</t>
        </is>
      </c>
      <c r="G513" t="inlineStr">
        <is>
          <t>SVENLJUNGA</t>
        </is>
      </c>
      <c r="I513" t="n">
        <v>0.9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11359-2025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45726</v>
      </c>
      <c r="E514" s="1" t="n">
        <v>46312</v>
      </c>
      <c r="F514" t="inlineStr">
        <is>
          <t>VÄSTRA GÖTALANDS LÄN</t>
        </is>
      </c>
      <c r="G514" t="inlineStr">
        <is>
          <t>SVENLJUNGA</t>
        </is>
      </c>
      <c r="I514" t="n">
        <v>0.9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13948-2025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45737</v>
      </c>
      <c r="E515" s="1" t="n">
        <v>46312</v>
      </c>
      <c r="F515" t="inlineStr">
        <is>
          <t>VÄSTRA GÖTALANDS LÄN</t>
        </is>
      </c>
      <c r="G515" t="inlineStr">
        <is>
          <t>SVENLJUNGA</t>
        </is>
      </c>
      <c r="I515" t="n">
        <v>6.6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11351-2025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45726</v>
      </c>
      <c r="E516" s="1" t="n">
        <v>46312</v>
      </c>
      <c r="F516" t="inlineStr">
        <is>
          <t>VÄSTRA GÖTALANDS LÄN</t>
        </is>
      </c>
      <c r="G516" t="inlineStr">
        <is>
          <t>SVENLJUNGA</t>
        </is>
      </c>
      <c r="I516" t="n">
        <v>2.3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36119-2026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46267</v>
      </c>
      <c r="E517" s="1" t="n">
        <v>46312</v>
      </c>
      <c r="F517" t="inlineStr">
        <is>
          <t>VÄSTRA GÖTALANDS LÄN</t>
        </is>
      </c>
      <c r="G517" t="inlineStr">
        <is>
          <t>SVENLJUNGA</t>
        </is>
      </c>
      <c r="I517" t="n">
        <v>0.7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13933-2025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45737</v>
      </c>
      <c r="E518" s="1" t="n">
        <v>46312</v>
      </c>
      <c r="F518" t="inlineStr">
        <is>
          <t>VÄSTRA GÖTALANDS LÄN</t>
        </is>
      </c>
      <c r="G518" t="inlineStr">
        <is>
          <t>SVENLJUNGA</t>
        </is>
      </c>
      <c r="I518" t="n">
        <v>4.6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13935-2025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45737</v>
      </c>
      <c r="E519" s="1" t="n">
        <v>46312</v>
      </c>
      <c r="F519" t="inlineStr">
        <is>
          <t>VÄSTRA GÖTALANDS LÄN</t>
        </is>
      </c>
      <c r="G519" t="inlineStr">
        <is>
          <t>SVENLJUNGA</t>
        </is>
      </c>
      <c r="I519" t="n">
        <v>3.1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13547-2025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45736</v>
      </c>
      <c r="E520" s="1" t="n">
        <v>46312</v>
      </c>
      <c r="F520" t="inlineStr">
        <is>
          <t>VÄSTRA GÖTALANDS LÄN</t>
        </is>
      </c>
      <c r="G520" t="inlineStr">
        <is>
          <t>SVENLJUNGA</t>
        </is>
      </c>
      <c r="I520" t="n">
        <v>1.5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30228-2025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45827</v>
      </c>
      <c r="E521" s="1" t="n">
        <v>46312</v>
      </c>
      <c r="F521" t="inlineStr">
        <is>
          <t>VÄSTRA GÖTALANDS LÄN</t>
        </is>
      </c>
      <c r="G521" t="inlineStr">
        <is>
          <t>SVENLJUNGA</t>
        </is>
      </c>
      <c r="I521" t="n">
        <v>0.7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11368-2025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45726</v>
      </c>
      <c r="E522" s="1" t="n">
        <v>46312</v>
      </c>
      <c r="F522" t="inlineStr">
        <is>
          <t>VÄSTRA GÖTALANDS LÄN</t>
        </is>
      </c>
      <c r="G522" t="inlineStr">
        <is>
          <t>SVENLJUNGA</t>
        </is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31008-2025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45832</v>
      </c>
      <c r="E523" s="1" t="n">
        <v>46312</v>
      </c>
      <c r="F523" t="inlineStr">
        <is>
          <t>VÄSTRA GÖTALANDS LÄN</t>
        </is>
      </c>
      <c r="G523" t="inlineStr">
        <is>
          <t>SVENLJUNGA</t>
        </is>
      </c>
      <c r="I523" t="n">
        <v>3.1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31099-2025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45832</v>
      </c>
      <c r="E524" s="1" t="n">
        <v>46312</v>
      </c>
      <c r="F524" t="inlineStr">
        <is>
          <t>VÄSTRA GÖTALANDS LÄN</t>
        </is>
      </c>
      <c r="G524" t="inlineStr">
        <is>
          <t>SVENLJUNGA</t>
        </is>
      </c>
      <c r="I524" t="n">
        <v>4.3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31737-2025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45834</v>
      </c>
      <c r="E525" s="1" t="n">
        <v>46312</v>
      </c>
      <c r="F525" t="inlineStr">
        <is>
          <t>VÄSTRA GÖTALANDS LÄN</t>
        </is>
      </c>
      <c r="G525" t="inlineStr">
        <is>
          <t>SVENLJUNGA</t>
        </is>
      </c>
      <c r="I525" t="n">
        <v>1.7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31741-2025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45834</v>
      </c>
      <c r="E526" s="1" t="n">
        <v>46312</v>
      </c>
      <c r="F526" t="inlineStr">
        <is>
          <t>VÄSTRA GÖTALANDS LÄN</t>
        </is>
      </c>
      <c r="G526" t="inlineStr">
        <is>
          <t>SVENLJUNGA</t>
        </is>
      </c>
      <c r="I526" t="n">
        <v>1.2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33061-2025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45840</v>
      </c>
      <c r="E527" s="1" t="n">
        <v>46312</v>
      </c>
      <c r="F527" t="inlineStr">
        <is>
          <t>VÄSTRA GÖTALANDS LÄN</t>
        </is>
      </c>
      <c r="G527" t="inlineStr">
        <is>
          <t>SVENLJUNGA</t>
        </is>
      </c>
      <c r="I527" t="n">
        <v>0.6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22251-2025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45785</v>
      </c>
      <c r="E528" s="1" t="n">
        <v>46312</v>
      </c>
      <c r="F528" t="inlineStr">
        <is>
          <t>VÄSTRA GÖTALANDS LÄN</t>
        </is>
      </c>
      <c r="G528" t="inlineStr">
        <is>
          <t>SVENLJUNGA</t>
        </is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34308-2025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45846</v>
      </c>
      <c r="E529" s="1" t="n">
        <v>46312</v>
      </c>
      <c r="F529" t="inlineStr">
        <is>
          <t>VÄSTRA GÖTALANDS LÄN</t>
        </is>
      </c>
      <c r="G529" t="inlineStr">
        <is>
          <t>SVENLJUNGA</t>
        </is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35320-2025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45854</v>
      </c>
      <c r="E530" s="1" t="n">
        <v>46312</v>
      </c>
      <c r="F530" t="inlineStr">
        <is>
          <t>VÄSTRA GÖTALANDS LÄN</t>
        </is>
      </c>
      <c r="G530" t="inlineStr">
        <is>
          <t>SVENLJUNGA</t>
        </is>
      </c>
      <c r="I530" t="n">
        <v>2.1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53763-2024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45615</v>
      </c>
      <c r="E531" s="1" t="n">
        <v>46312</v>
      </c>
      <c r="F531" t="inlineStr">
        <is>
          <t>VÄSTRA GÖTALANDS LÄN</t>
        </is>
      </c>
      <c r="G531" t="inlineStr">
        <is>
          <t>SVENLJUNGA</t>
        </is>
      </c>
      <c r="I531" t="n">
        <v>0.8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36243-2025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45867</v>
      </c>
      <c r="E532" s="1" t="n">
        <v>46312</v>
      </c>
      <c r="F532" t="inlineStr">
        <is>
          <t>VÄSTRA GÖTALANDS LÄN</t>
        </is>
      </c>
      <c r="G532" t="inlineStr">
        <is>
          <t>SVENLJUNGA</t>
        </is>
      </c>
      <c r="I532" t="n">
        <v>0.5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37942-2023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45160</v>
      </c>
      <c r="E533" s="1" t="n">
        <v>46312</v>
      </c>
      <c r="F533" t="inlineStr">
        <is>
          <t>VÄSTRA GÖTALANDS LÄN</t>
        </is>
      </c>
      <c r="G533" t="inlineStr">
        <is>
          <t>SVENLJUNGA</t>
        </is>
      </c>
      <c r="I533" t="n">
        <v>1.4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36405-2025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45868</v>
      </c>
      <c r="E534" s="1" t="n">
        <v>46312</v>
      </c>
      <c r="F534" t="inlineStr">
        <is>
          <t>VÄSTRA GÖTALANDS LÄN</t>
        </is>
      </c>
      <c r="G534" t="inlineStr">
        <is>
          <t>SVENLJUNGA</t>
        </is>
      </c>
      <c r="I534" t="n">
        <v>3.5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25486-2025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45803</v>
      </c>
      <c r="E535" s="1" t="n">
        <v>46312</v>
      </c>
      <c r="F535" t="inlineStr">
        <is>
          <t>VÄSTRA GÖTALANDS LÄN</t>
        </is>
      </c>
      <c r="G535" t="inlineStr">
        <is>
          <t>SVENLJUNGA</t>
        </is>
      </c>
      <c r="I535" t="n">
        <v>1.3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53767-2024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45615</v>
      </c>
      <c r="E536" s="1" t="n">
        <v>46312</v>
      </c>
      <c r="F536" t="inlineStr">
        <is>
          <t>VÄSTRA GÖTALANDS LÄN</t>
        </is>
      </c>
      <c r="G536" t="inlineStr">
        <is>
          <t>SVENLJUNGA</t>
        </is>
      </c>
      <c r="I536" t="n">
        <v>2.6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37410-2025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45877</v>
      </c>
      <c r="E537" s="1" t="n">
        <v>46312</v>
      </c>
      <c r="F537" t="inlineStr">
        <is>
          <t>VÄSTRA GÖTALANDS LÄN</t>
        </is>
      </c>
      <c r="G537" t="inlineStr">
        <is>
          <t>SVENLJUNGA</t>
        </is>
      </c>
      <c r="I537" t="n">
        <v>1.1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13003-2025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45734</v>
      </c>
      <c r="E538" s="1" t="n">
        <v>46312</v>
      </c>
      <c r="F538" t="inlineStr">
        <is>
          <t>VÄSTRA GÖTALANDS LÄN</t>
        </is>
      </c>
      <c r="G538" t="inlineStr">
        <is>
          <t>SVENLJUNGA</t>
        </is>
      </c>
      <c r="I538" t="n">
        <v>1.4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S 2927-2022</t>
        </is>
      </c>
      <c r="B539" t="inlineStr">
        <is>
          <t>samrådsanmälan</t>
        </is>
      </c>
      <c r="C539" t="inlineStr">
        <is>
          <t>Askåterföring</t>
        </is>
      </c>
      <c r="D539" s="1" t="n">
        <v>44711</v>
      </c>
      <c r="E539" s="1" t="n">
        <v>46312</v>
      </c>
      <c r="F539" t="inlineStr">
        <is>
          <t>VÄSTRA GÖTALANDS LÄN</t>
        </is>
      </c>
      <c r="G539" t="inlineStr">
        <is>
          <t>SVENLJUNGA</t>
        </is>
      </c>
      <c r="I539" t="n">
        <v>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S 1862-2022</t>
        </is>
      </c>
      <c r="B540" t="inlineStr">
        <is>
          <t>samrådsanmälan</t>
        </is>
      </c>
      <c r="C540" t="inlineStr">
        <is>
          <t>Askåterföring</t>
        </is>
      </c>
      <c r="D540" s="1" t="n">
        <v>44658</v>
      </c>
      <c r="E540" s="1" t="n">
        <v>46312</v>
      </c>
      <c r="F540" t="inlineStr">
        <is>
          <t>VÄSTRA GÖTALANDS LÄN</t>
        </is>
      </c>
      <c r="G540" t="inlineStr">
        <is>
          <t>SVENLJUNGA</t>
        </is>
      </c>
      <c r="I540" t="n">
        <v>9.300000000000001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S 10474-2021</t>
        </is>
      </c>
      <c r="B541" t="inlineStr">
        <is>
          <t>samrådsanmälan</t>
        </is>
      </c>
      <c r="C541" t="inlineStr">
        <is>
          <t>Skogsbilväg</t>
        </is>
      </c>
      <c r="D541" s="1" t="n">
        <v>44559</v>
      </c>
      <c r="E541" s="1" t="n">
        <v>46312</v>
      </c>
      <c r="F541" t="inlineStr">
        <is>
          <t>VÄSTRA GÖTALANDS LÄN</t>
        </is>
      </c>
      <c r="G541" t="inlineStr">
        <is>
          <t>SVENLJUNGA</t>
        </is>
      </c>
      <c r="I541" t="n">
        <v>1.3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S 1514-2024</t>
        </is>
      </c>
      <c r="B542" t="inlineStr">
        <is>
          <t>samrådsanmälan</t>
        </is>
      </c>
      <c r="C542" t="inlineStr">
        <is>
          <t>Askåterföring</t>
        </is>
      </c>
      <c r="D542" s="1" t="n">
        <v>45422</v>
      </c>
      <c r="E542" s="1" t="n">
        <v>46312</v>
      </c>
      <c r="F542" t="inlineStr">
        <is>
          <t>VÄSTRA GÖTALANDS LÄN</t>
        </is>
      </c>
      <c r="G542" t="inlineStr">
        <is>
          <t>SVENLJUNGA</t>
        </is>
      </c>
      <c r="I542" t="n">
        <v>7.1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S 1845-2022</t>
        </is>
      </c>
      <c r="B543" t="inlineStr">
        <is>
          <t>samrådsanmälan</t>
        </is>
      </c>
      <c r="C543" t="inlineStr">
        <is>
          <t>Askåterföring</t>
        </is>
      </c>
      <c r="D543" s="1" t="n">
        <v>44658</v>
      </c>
      <c r="E543" s="1" t="n">
        <v>46312</v>
      </c>
      <c r="F543" t="inlineStr">
        <is>
          <t>VÄSTRA GÖTALANDS LÄN</t>
        </is>
      </c>
      <c r="G543" t="inlineStr">
        <is>
          <t>SVENLJUNGA</t>
        </is>
      </c>
      <c r="I543" t="n">
        <v>25.5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S 1505-2024</t>
        </is>
      </c>
      <c r="B544" t="inlineStr">
        <is>
          <t>samrådsanmälan</t>
        </is>
      </c>
      <c r="C544" t="inlineStr">
        <is>
          <t>Askåterföring</t>
        </is>
      </c>
      <c r="D544" s="1" t="n">
        <v>45422</v>
      </c>
      <c r="E544" s="1" t="n">
        <v>46312</v>
      </c>
      <c r="F544" t="inlineStr">
        <is>
          <t>VÄSTRA GÖTALANDS LÄN</t>
        </is>
      </c>
      <c r="G544" t="inlineStr">
        <is>
          <t>SVENLJUNGA</t>
        </is>
      </c>
      <c r="I544" t="n">
        <v>4.1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S 1861-2022</t>
        </is>
      </c>
      <c r="B545" t="inlineStr">
        <is>
          <t>samrådsanmälan</t>
        </is>
      </c>
      <c r="C545" t="inlineStr">
        <is>
          <t>Askåterföring</t>
        </is>
      </c>
      <c r="D545" s="1" t="n">
        <v>44658</v>
      </c>
      <c r="E545" s="1" t="n">
        <v>46312</v>
      </c>
      <c r="F545" t="inlineStr">
        <is>
          <t>VÄSTRA GÖTALANDS LÄN</t>
        </is>
      </c>
      <c r="G545" t="inlineStr">
        <is>
          <t>SVENLJUNGA</t>
        </is>
      </c>
      <c r="I545" t="n">
        <v>2.6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S 1359-2022</t>
        </is>
      </c>
      <c r="B546" t="inlineStr">
        <is>
          <t>samrådsanmälan</t>
        </is>
      </c>
      <c r="C546" t="inlineStr">
        <is>
          <t>Annan skogsbruksåtgärd</t>
        </is>
      </c>
      <c r="D546" s="1" t="n">
        <v>44630</v>
      </c>
      <c r="E546" s="1" t="n">
        <v>46312</v>
      </c>
      <c r="F546" t="inlineStr">
        <is>
          <t>VÄSTRA GÖTALANDS LÄN</t>
        </is>
      </c>
      <c r="G546" t="inlineStr">
        <is>
          <t>SVENLJUNGA</t>
        </is>
      </c>
      <c r="H546" t="inlineStr">
        <is>
          <t>Kommuner</t>
        </is>
      </c>
      <c r="I546" t="n">
        <v>2.6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S 1506-2024</t>
        </is>
      </c>
      <c r="B547" t="inlineStr">
        <is>
          <t>samrådsanmälan</t>
        </is>
      </c>
      <c r="C547" t="inlineStr">
        <is>
          <t>Askåterföring</t>
        </is>
      </c>
      <c r="D547" s="1" t="n">
        <v>45422</v>
      </c>
      <c r="E547" s="1" t="n">
        <v>46312</v>
      </c>
      <c r="F547" t="inlineStr">
        <is>
          <t>VÄSTRA GÖTALANDS LÄN</t>
        </is>
      </c>
      <c r="G547" t="inlineStr">
        <is>
          <t>SVENLJUNGA</t>
        </is>
      </c>
      <c r="I547" t="n">
        <v>20.8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S 585-2023</t>
        </is>
      </c>
      <c r="B548" t="inlineStr">
        <is>
          <t>samrådsanmälan</t>
        </is>
      </c>
      <c r="C548" t="inlineStr">
        <is>
          <t>Askåterföring</t>
        </is>
      </c>
      <c r="D548" s="1" t="n">
        <v>44974</v>
      </c>
      <c r="E548" s="1" t="n">
        <v>46312</v>
      </c>
      <c r="F548" t="inlineStr">
        <is>
          <t>VÄSTRA GÖTALANDS LÄN</t>
        </is>
      </c>
      <c r="G548" t="inlineStr">
        <is>
          <t>SVENLJUNGA</t>
        </is>
      </c>
      <c r="I548" t="n">
        <v>10.3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S 2892-2022</t>
        </is>
      </c>
      <c r="B549" t="inlineStr">
        <is>
          <t>samrådsanmälan</t>
        </is>
      </c>
      <c r="C549" t="inlineStr">
        <is>
          <t>Askåterföring</t>
        </is>
      </c>
      <c r="D549" s="1" t="n">
        <v>44711</v>
      </c>
      <c r="E549" s="1" t="n">
        <v>46312</v>
      </c>
      <c r="F549" t="inlineStr">
        <is>
          <t>VÄSTRA GÖTALANDS LÄN</t>
        </is>
      </c>
      <c r="G549" t="inlineStr">
        <is>
          <t>SVENLJUNGA</t>
        </is>
      </c>
      <c r="I549" t="n">
        <v>66.59999999999999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S 4336-2022</t>
        </is>
      </c>
      <c r="B550" t="inlineStr">
        <is>
          <t>samrådsanmälan</t>
        </is>
      </c>
      <c r="C550" t="inlineStr">
        <is>
          <t>Skogsbilväg</t>
        </is>
      </c>
      <c r="D550" s="1" t="n">
        <v>44782</v>
      </c>
      <c r="E550" s="1" t="n">
        <v>46312</v>
      </c>
      <c r="F550" t="inlineStr">
        <is>
          <t>VÄSTRA GÖTALANDS LÄN</t>
        </is>
      </c>
      <c r="G550" t="inlineStr">
        <is>
          <t>SVENLJUNGA</t>
        </is>
      </c>
      <c r="I550" t="n">
        <v>1.7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S 465-2023</t>
        </is>
      </c>
      <c r="B551" t="inlineStr">
        <is>
          <t>samrådsanmälan</t>
        </is>
      </c>
      <c r="C551" t="inlineStr">
        <is>
          <t>Askåterföring</t>
        </is>
      </c>
      <c r="D551" s="1" t="n">
        <v>44967</v>
      </c>
      <c r="E551" s="1" t="n">
        <v>46312</v>
      </c>
      <c r="F551" t="inlineStr">
        <is>
          <t>VÄSTRA GÖTALANDS LÄN</t>
        </is>
      </c>
      <c r="G551" t="inlineStr">
        <is>
          <t>SVENLJUNGA</t>
        </is>
      </c>
      <c r="I551" t="n">
        <v>13.5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S 468-2023</t>
        </is>
      </c>
      <c r="B552" t="inlineStr">
        <is>
          <t>samrådsanmälan</t>
        </is>
      </c>
      <c r="C552" t="inlineStr">
        <is>
          <t>Askåterföring</t>
        </is>
      </c>
      <c r="D552" s="1" t="n">
        <v>44967</v>
      </c>
      <c r="E552" s="1" t="n">
        <v>46312</v>
      </c>
      <c r="F552" t="inlineStr">
        <is>
          <t>VÄSTRA GÖTALANDS LÄN</t>
        </is>
      </c>
      <c r="G552" t="inlineStr">
        <is>
          <t>SVENLJUNGA</t>
        </is>
      </c>
      <c r="I552" t="n">
        <v>2.8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S 947-2023</t>
        </is>
      </c>
      <c r="B553" t="inlineStr">
        <is>
          <t>samrådsanmälan</t>
        </is>
      </c>
      <c r="C553" t="inlineStr">
        <is>
          <t>Askåterföring</t>
        </is>
      </c>
      <c r="D553" s="1" t="n">
        <v>45002</v>
      </c>
      <c r="E553" s="1" t="n">
        <v>46312</v>
      </c>
      <c r="F553" t="inlineStr">
        <is>
          <t>VÄSTRA GÖTALANDS LÄN</t>
        </is>
      </c>
      <c r="G553" t="inlineStr">
        <is>
          <t>SVENLJUNGA</t>
        </is>
      </c>
      <c r="I553" t="n">
        <v>11.4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S 785-2024</t>
        </is>
      </c>
      <c r="B554" t="inlineStr">
        <is>
          <t>samrådsanmälan</t>
        </is>
      </c>
      <c r="C554" t="inlineStr">
        <is>
          <t>Annan skogsbruksåtgärd</t>
        </is>
      </c>
      <c r="D554" s="1" t="n">
        <v>45369</v>
      </c>
      <c r="E554" s="1" t="n">
        <v>46312</v>
      </c>
      <c r="F554" t="inlineStr">
        <is>
          <t>VÄSTRA GÖTALANDS LÄN</t>
        </is>
      </c>
      <c r="G554" t="inlineStr">
        <is>
          <t>SVENLJUNGA</t>
        </is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S 1014-2023</t>
        </is>
      </c>
      <c r="B555" t="inlineStr">
        <is>
          <t>samrådsanmälan</t>
        </is>
      </c>
      <c r="C555" t="inlineStr">
        <is>
          <t>Askåterföring</t>
        </is>
      </c>
      <c r="D555" s="1" t="n">
        <v>45008</v>
      </c>
      <c r="E555" s="1" t="n">
        <v>46312</v>
      </c>
      <c r="F555" t="inlineStr">
        <is>
          <t>VÄSTRA GÖTALANDS LÄN</t>
        </is>
      </c>
      <c r="G555" t="inlineStr">
        <is>
          <t>SVENLJUNGA</t>
        </is>
      </c>
      <c r="I555" t="n">
        <v>15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S 2793-2022</t>
        </is>
      </c>
      <c r="B556" t="inlineStr">
        <is>
          <t>samrådsanmälan</t>
        </is>
      </c>
      <c r="C556" t="inlineStr">
        <is>
          <t>Askåterföring</t>
        </is>
      </c>
      <c r="D556" s="1" t="n">
        <v>44706</v>
      </c>
      <c r="E556" s="1" t="n">
        <v>46312</v>
      </c>
      <c r="F556" t="inlineStr">
        <is>
          <t>VÄSTRA GÖTALANDS LÄN</t>
        </is>
      </c>
      <c r="G556" t="inlineStr">
        <is>
          <t>SVENLJUNGA</t>
        </is>
      </c>
      <c r="I556" t="n">
        <v>22.9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S 2944-2022</t>
        </is>
      </c>
      <c r="B557" t="inlineStr">
        <is>
          <t>samrådsanmälan</t>
        </is>
      </c>
      <c r="C557" t="inlineStr">
        <is>
          <t>Askåterföring</t>
        </is>
      </c>
      <c r="D557" s="1" t="n">
        <v>44712</v>
      </c>
      <c r="E557" s="1" t="n">
        <v>46312</v>
      </c>
      <c r="F557" t="inlineStr">
        <is>
          <t>VÄSTRA GÖTALANDS LÄN</t>
        </is>
      </c>
      <c r="G557" t="inlineStr">
        <is>
          <t>SVENLJUNGA</t>
        </is>
      </c>
      <c r="I557" t="n">
        <v>3.8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S 829-2023</t>
        </is>
      </c>
      <c r="B558" t="inlineStr">
        <is>
          <t>samrådsanmälan</t>
        </is>
      </c>
      <c r="C558" t="inlineStr">
        <is>
          <t>Askåterföring</t>
        </is>
      </c>
      <c r="D558" s="1" t="n">
        <v>44993</v>
      </c>
      <c r="E558" s="1" t="n">
        <v>46312</v>
      </c>
      <c r="F558" t="inlineStr">
        <is>
          <t>VÄSTRA GÖTALANDS LÄN</t>
        </is>
      </c>
      <c r="G558" t="inlineStr">
        <is>
          <t>SVENLJUNGA</t>
        </is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S 1507-2024</t>
        </is>
      </c>
      <c r="B559" t="inlineStr">
        <is>
          <t>samrådsanmälan</t>
        </is>
      </c>
      <c r="C559" t="inlineStr">
        <is>
          <t>Askåterföring</t>
        </is>
      </c>
      <c r="D559" s="1" t="n">
        <v>45422</v>
      </c>
      <c r="E559" s="1" t="n">
        <v>46312</v>
      </c>
      <c r="F559" t="inlineStr">
        <is>
          <t>VÄSTRA GÖTALANDS LÄN</t>
        </is>
      </c>
      <c r="G559" t="inlineStr">
        <is>
          <t>SVENLJUNGA</t>
        </is>
      </c>
      <c r="I559" t="n">
        <v>32.7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S 1109-2023</t>
        </is>
      </c>
      <c r="B560" t="inlineStr">
        <is>
          <t>samrådsanmälan</t>
        </is>
      </c>
      <c r="C560" t="inlineStr">
        <is>
          <t>Askåterföring</t>
        </is>
      </c>
      <c r="D560" s="1" t="n">
        <v>45015</v>
      </c>
      <c r="E560" s="1" t="n">
        <v>46312</v>
      </c>
      <c r="F560" t="inlineStr">
        <is>
          <t>VÄSTRA GÖTALANDS LÄN</t>
        </is>
      </c>
      <c r="G560" t="inlineStr">
        <is>
          <t>SVENLJUNGA</t>
        </is>
      </c>
      <c r="I560" t="n">
        <v>12.3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S 2882-2022</t>
        </is>
      </c>
      <c r="B561" t="inlineStr">
        <is>
          <t>samrådsanmälan</t>
        </is>
      </c>
      <c r="C561" t="inlineStr">
        <is>
          <t>Askåterföring</t>
        </is>
      </c>
      <c r="D561" s="1" t="n">
        <v>44711</v>
      </c>
      <c r="E561" s="1" t="n">
        <v>46312</v>
      </c>
      <c r="F561" t="inlineStr">
        <is>
          <t>VÄSTRA GÖTALANDS LÄN</t>
        </is>
      </c>
      <c r="G561" t="inlineStr">
        <is>
          <t>SVENLJUNGA</t>
        </is>
      </c>
      <c r="I561" t="n">
        <v>2.3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S 10476-2021</t>
        </is>
      </c>
      <c r="B562" t="inlineStr">
        <is>
          <t>samrådsanmälan</t>
        </is>
      </c>
      <c r="C562" t="inlineStr">
        <is>
          <t>Skogsbilväg</t>
        </is>
      </c>
      <c r="D562" s="1" t="n">
        <v>44559</v>
      </c>
      <c r="E562" s="1" t="n">
        <v>46312</v>
      </c>
      <c r="F562" t="inlineStr">
        <is>
          <t>VÄSTRA GÖTALANDS LÄN</t>
        </is>
      </c>
      <c r="G562" t="inlineStr">
        <is>
          <t>SVENLJUNGA</t>
        </is>
      </c>
      <c r="I562" t="n">
        <v>1.2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S 1510-2024</t>
        </is>
      </c>
      <c r="B563" t="inlineStr">
        <is>
          <t>samrådsanmälan</t>
        </is>
      </c>
      <c r="C563" t="inlineStr">
        <is>
          <t>Askåterföring</t>
        </is>
      </c>
      <c r="D563" s="1" t="n">
        <v>45422</v>
      </c>
      <c r="E563" s="1" t="n">
        <v>46312</v>
      </c>
      <c r="F563" t="inlineStr">
        <is>
          <t>VÄSTRA GÖTALANDS LÄN</t>
        </is>
      </c>
      <c r="G563" t="inlineStr">
        <is>
          <t>SVENLJUNGA</t>
        </is>
      </c>
      <c r="I563" t="n">
        <v>15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S 668-2023</t>
        </is>
      </c>
      <c r="B564" t="inlineStr">
        <is>
          <t>samrådsanmälan</t>
        </is>
      </c>
      <c r="C564" t="inlineStr">
        <is>
          <t>Askåterföring</t>
        </is>
      </c>
      <c r="D564" s="1" t="n">
        <v>44980</v>
      </c>
      <c r="E564" s="1" t="n">
        <v>46312</v>
      </c>
      <c r="F564" t="inlineStr">
        <is>
          <t>VÄSTRA GÖTALANDS LÄN</t>
        </is>
      </c>
      <c r="G564" t="inlineStr">
        <is>
          <t>SVENLJUNGA</t>
        </is>
      </c>
      <c r="I564" t="n">
        <v>10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S 830-2023</t>
        </is>
      </c>
      <c r="B565" t="inlineStr">
        <is>
          <t>samrådsanmälan</t>
        </is>
      </c>
      <c r="C565" t="inlineStr">
        <is>
          <t>Askåterföring</t>
        </is>
      </c>
      <c r="D565" s="1" t="n">
        <v>44990</v>
      </c>
      <c r="E565" s="1" t="n">
        <v>46312</v>
      </c>
      <c r="F565" t="inlineStr">
        <is>
          <t>VÄSTRA GÖTALANDS LÄN</t>
        </is>
      </c>
      <c r="G565" t="inlineStr">
        <is>
          <t>SVENLJUNGA</t>
        </is>
      </c>
      <c r="I565" t="n">
        <v>24.3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S 1844-2022</t>
        </is>
      </c>
      <c r="B566" t="inlineStr">
        <is>
          <t>samrådsanmälan</t>
        </is>
      </c>
      <c r="C566" t="inlineStr">
        <is>
          <t>Askåterföring</t>
        </is>
      </c>
      <c r="D566" s="1" t="n">
        <v>44658</v>
      </c>
      <c r="E566" s="1" t="n">
        <v>46312</v>
      </c>
      <c r="F566" t="inlineStr">
        <is>
          <t>VÄSTRA GÖTALANDS LÄN</t>
        </is>
      </c>
      <c r="G566" t="inlineStr">
        <is>
          <t>SVENLJUNGA</t>
        </is>
      </c>
      <c r="I566" t="n">
        <v>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S 1593-2024</t>
        </is>
      </c>
      <c r="B567" t="inlineStr">
        <is>
          <t>samrådsanmälan</t>
        </is>
      </c>
      <c r="C567" t="inlineStr">
        <is>
          <t>Askåterföring</t>
        </is>
      </c>
      <c r="D567" s="1" t="n">
        <v>45427</v>
      </c>
      <c r="E567" s="1" t="n">
        <v>46312</v>
      </c>
      <c r="F567" t="inlineStr">
        <is>
          <t>VÄSTRA GÖTALANDS LÄN</t>
        </is>
      </c>
      <c r="G567" t="inlineStr">
        <is>
          <t>SVENLJUNGA</t>
        </is>
      </c>
      <c r="I567" t="n">
        <v>26.9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S 881-2023</t>
        </is>
      </c>
      <c r="B568" t="inlineStr">
        <is>
          <t>samrådsanmälan</t>
        </is>
      </c>
      <c r="C568" t="inlineStr">
        <is>
          <t>Askåterföring</t>
        </is>
      </c>
      <c r="D568" s="1" t="n">
        <v>44997</v>
      </c>
      <c r="E568" s="1" t="n">
        <v>46312</v>
      </c>
      <c r="F568" t="inlineStr">
        <is>
          <t>VÄSTRA GÖTALANDS LÄN</t>
        </is>
      </c>
      <c r="G568" t="inlineStr">
        <is>
          <t>SVENLJUNGA</t>
        </is>
      </c>
      <c r="I568" t="n">
        <v>26.5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S 1504-2024</t>
        </is>
      </c>
      <c r="B569" t="inlineStr">
        <is>
          <t>samrådsanmälan</t>
        </is>
      </c>
      <c r="C569" t="inlineStr">
        <is>
          <t>Askåterföring</t>
        </is>
      </c>
      <c r="D569" s="1" t="n">
        <v>45422</v>
      </c>
      <c r="E569" s="1" t="n">
        <v>46312</v>
      </c>
      <c r="F569" t="inlineStr">
        <is>
          <t>VÄSTRA GÖTALANDS LÄN</t>
        </is>
      </c>
      <c r="G569" t="inlineStr">
        <is>
          <t>SVENLJUNGA</t>
        </is>
      </c>
      <c r="H569" t="inlineStr">
        <is>
          <t>Kyrkan</t>
        </is>
      </c>
      <c r="I569" t="n">
        <v>34.3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S 10475-2021</t>
        </is>
      </c>
      <c r="B570" t="inlineStr">
        <is>
          <t>samrådsanmälan</t>
        </is>
      </c>
      <c r="C570" t="inlineStr">
        <is>
          <t>Skogsbilväg</t>
        </is>
      </c>
      <c r="D570" s="1" t="n">
        <v>44559</v>
      </c>
      <c r="E570" s="1" t="n">
        <v>46312</v>
      </c>
      <c r="F570" t="inlineStr">
        <is>
          <t>VÄSTRA GÖTALANDS LÄN</t>
        </is>
      </c>
      <c r="G570" t="inlineStr">
        <is>
          <t>SVENLJUNGA</t>
        </is>
      </c>
      <c r="I570" t="n">
        <v>0.9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S 1063-2024</t>
        </is>
      </c>
      <c r="B571" t="inlineStr">
        <is>
          <t>samrådsanmälan</t>
        </is>
      </c>
      <c r="C571" t="inlineStr">
        <is>
          <t>Skogsgödsling</t>
        </is>
      </c>
      <c r="D571" s="1" t="n">
        <v>45387</v>
      </c>
      <c r="E571" s="1" t="n">
        <v>46312</v>
      </c>
      <c r="F571" t="inlineStr">
        <is>
          <t>VÄSTRA GÖTALANDS LÄN</t>
        </is>
      </c>
      <c r="G571" t="inlineStr">
        <is>
          <t>SVENLJUNGA</t>
        </is>
      </c>
      <c r="H571" t="inlineStr">
        <is>
          <t>Sveaskog</t>
        </is>
      </c>
      <c r="I571" t="n">
        <v>31.1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S 467-2023</t>
        </is>
      </c>
      <c r="B572" t="inlineStr">
        <is>
          <t>samrådsanmälan</t>
        </is>
      </c>
      <c r="C572" t="inlineStr">
        <is>
          <t>Askåterföring</t>
        </is>
      </c>
      <c r="D572" s="1" t="n">
        <v>44967</v>
      </c>
      <c r="E572" s="1" t="n">
        <v>46312</v>
      </c>
      <c r="F572" t="inlineStr">
        <is>
          <t>VÄSTRA GÖTALANDS LÄN</t>
        </is>
      </c>
      <c r="G572" t="inlineStr">
        <is>
          <t>SVENLJUNGA</t>
        </is>
      </c>
      <c r="I572" t="n">
        <v>3.1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S 1881-2023</t>
        </is>
      </c>
      <c r="B573" t="inlineStr">
        <is>
          <t>samrådsanmälan</t>
        </is>
      </c>
      <c r="C573" t="inlineStr">
        <is>
          <t>Askåterföring</t>
        </is>
      </c>
      <c r="D573" s="1" t="n">
        <v>45081</v>
      </c>
      <c r="E573" s="1" t="n">
        <v>46312</v>
      </c>
      <c r="F573" t="inlineStr">
        <is>
          <t>VÄSTRA GÖTALANDS LÄN</t>
        </is>
      </c>
      <c r="G573" t="inlineStr">
        <is>
          <t>SVENLJUNGA</t>
        </is>
      </c>
      <c r="I573" t="n">
        <v>8.699999999999999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S 290-2023</t>
        </is>
      </c>
      <c r="B574" t="inlineStr">
        <is>
          <t>samrådsanmälan</t>
        </is>
      </c>
      <c r="C574" t="inlineStr">
        <is>
          <t>Askåterföring</t>
        </is>
      </c>
      <c r="D574" s="1" t="n">
        <v>44957</v>
      </c>
      <c r="E574" s="1" t="n">
        <v>46312</v>
      </c>
      <c r="F574" t="inlineStr">
        <is>
          <t>VÄSTRA GÖTALANDS LÄN</t>
        </is>
      </c>
      <c r="G574" t="inlineStr">
        <is>
          <t>SVENLJUNGA</t>
        </is>
      </c>
      <c r="I574" t="n">
        <v>7.6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S 1508-2024</t>
        </is>
      </c>
      <c r="B575" t="inlineStr">
        <is>
          <t>samrådsanmälan</t>
        </is>
      </c>
      <c r="C575" t="inlineStr">
        <is>
          <t>Askåterföring</t>
        </is>
      </c>
      <c r="D575" s="1" t="n">
        <v>45422</v>
      </c>
      <c r="E575" s="1" t="n">
        <v>46312</v>
      </c>
      <c r="F575" t="inlineStr">
        <is>
          <t>VÄSTRA GÖTALANDS LÄN</t>
        </is>
      </c>
      <c r="G575" t="inlineStr">
        <is>
          <t>SVENLJUNGA</t>
        </is>
      </c>
      <c r="I575" t="n">
        <v>7.1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S 2898-2022</t>
        </is>
      </c>
      <c r="B576" t="inlineStr">
        <is>
          <t>samrådsanmälan</t>
        </is>
      </c>
      <c r="C576" t="inlineStr">
        <is>
          <t>Askåterföring</t>
        </is>
      </c>
      <c r="D576" s="1" t="n">
        <v>44711</v>
      </c>
      <c r="E576" s="1" t="n">
        <v>46312</v>
      </c>
      <c r="F576" t="inlineStr">
        <is>
          <t>VÄSTRA GÖTALANDS LÄN</t>
        </is>
      </c>
      <c r="G576" t="inlineStr">
        <is>
          <t>SVENLJUNGA</t>
        </is>
      </c>
      <c r="I576" t="n">
        <v>8.300000000000001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S 1015-2023</t>
        </is>
      </c>
      <c r="B577" t="inlineStr">
        <is>
          <t>samrådsanmälan</t>
        </is>
      </c>
      <c r="C577" t="inlineStr">
        <is>
          <t>Askåterföring</t>
        </is>
      </c>
      <c r="D577" s="1" t="n">
        <v>45008</v>
      </c>
      <c r="E577" s="1" t="n">
        <v>46312</v>
      </c>
      <c r="F577" t="inlineStr">
        <is>
          <t>VÄSTRA GÖTALANDS LÄN</t>
        </is>
      </c>
      <c r="G577" t="inlineStr">
        <is>
          <t>SVENLJUNGA</t>
        </is>
      </c>
      <c r="I577" t="n">
        <v>28.9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S 584-2023</t>
        </is>
      </c>
      <c r="B578" t="inlineStr">
        <is>
          <t>samrådsanmälan</t>
        </is>
      </c>
      <c r="C578" t="inlineStr">
        <is>
          <t>Askåterföring</t>
        </is>
      </c>
      <c r="D578" s="1" t="n">
        <v>44974</v>
      </c>
      <c r="E578" s="1" t="n">
        <v>46312</v>
      </c>
      <c r="F578" t="inlineStr">
        <is>
          <t>VÄSTRA GÖTALANDS LÄN</t>
        </is>
      </c>
      <c r="G578" t="inlineStr">
        <is>
          <t>SVENLJUNGA</t>
        </is>
      </c>
      <c r="I578" t="n">
        <v>13.7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S 2035-2022</t>
        </is>
      </c>
      <c r="B579" t="inlineStr">
        <is>
          <t>samrådsanmälan</t>
        </is>
      </c>
      <c r="C579" t="inlineStr">
        <is>
          <t>Skogsbilväg</t>
        </is>
      </c>
      <c r="D579" s="1" t="n">
        <v>44671</v>
      </c>
      <c r="E579" s="1" t="n">
        <v>46312</v>
      </c>
      <c r="F579" t="inlineStr">
        <is>
          <t>VÄSTRA GÖTALANDS LÄN</t>
        </is>
      </c>
      <c r="G579" t="inlineStr">
        <is>
          <t>SVENLJUNGA</t>
        </is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S 1481-2025</t>
        </is>
      </c>
      <c r="B580" t="inlineStr">
        <is>
          <t>samrådsanmälan</t>
        </is>
      </c>
      <c r="C580" t="inlineStr">
        <is>
          <t>Askåterföring</t>
        </is>
      </c>
      <c r="D580" s="1" t="n">
        <v>45789</v>
      </c>
      <c r="E580" s="1" t="n">
        <v>46312</v>
      </c>
      <c r="F580" t="inlineStr">
        <is>
          <t>VÄSTRA GÖTALANDS LÄN</t>
        </is>
      </c>
      <c r="G580" t="inlineStr">
        <is>
          <t>SVENLJUNGA</t>
        </is>
      </c>
      <c r="I580" t="n">
        <v>29.3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S 1467-2025</t>
        </is>
      </c>
      <c r="B581" t="inlineStr">
        <is>
          <t>samrådsanmälan</t>
        </is>
      </c>
      <c r="C581" t="inlineStr">
        <is>
          <t>Askåterföring</t>
        </is>
      </c>
      <c r="D581" s="1" t="n">
        <v>45786</v>
      </c>
      <c r="E581" s="1" t="n">
        <v>46312</v>
      </c>
      <c r="F581" t="inlineStr">
        <is>
          <t>VÄSTRA GÖTALANDS LÄN</t>
        </is>
      </c>
      <c r="G581" t="inlineStr">
        <is>
          <t>SVENLJUNGA</t>
        </is>
      </c>
      <c r="I581" t="n">
        <v>10.5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S 1468-2025</t>
        </is>
      </c>
      <c r="B582" t="inlineStr">
        <is>
          <t>samrådsanmälan</t>
        </is>
      </c>
      <c r="C582" t="inlineStr">
        <is>
          <t>Askåterföring</t>
        </is>
      </c>
      <c r="D582" s="1" t="n">
        <v>45786</v>
      </c>
      <c r="E582" s="1" t="n">
        <v>46312</v>
      </c>
      <c r="F582" t="inlineStr">
        <is>
          <t>VÄSTRA GÖTALANDS LÄN</t>
        </is>
      </c>
      <c r="G582" t="inlineStr">
        <is>
          <t>SVENLJUNGA</t>
        </is>
      </c>
      <c r="I582" t="n">
        <v>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S 1469-2025</t>
        </is>
      </c>
      <c r="B583" t="inlineStr">
        <is>
          <t>samrådsanmälan</t>
        </is>
      </c>
      <c r="C583" t="inlineStr">
        <is>
          <t>Askåterföring</t>
        </is>
      </c>
      <c r="D583" s="1" t="n">
        <v>45786</v>
      </c>
      <c r="E583" s="1" t="n">
        <v>46312</v>
      </c>
      <c r="F583" t="inlineStr">
        <is>
          <t>VÄSTRA GÖTALANDS LÄN</t>
        </is>
      </c>
      <c r="G583" t="inlineStr">
        <is>
          <t>SVENLJUNGA</t>
        </is>
      </c>
      <c r="I583" t="n">
        <v>25.8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S 4933-2024</t>
        </is>
      </c>
      <c r="B584" t="inlineStr">
        <is>
          <t>samrådsanmälan</t>
        </is>
      </c>
      <c r="C584" t="inlineStr">
        <is>
          <t>Askåterföring</t>
        </is>
      </c>
      <c r="D584" s="1" t="n">
        <v>45627</v>
      </c>
      <c r="E584" s="1" t="n">
        <v>46312</v>
      </c>
      <c r="F584" t="inlineStr">
        <is>
          <t>VÄSTRA GÖTALANDS LÄN</t>
        </is>
      </c>
      <c r="G584" t="inlineStr">
        <is>
          <t>SVENLJUNGA</t>
        </is>
      </c>
      <c r="I584" t="n">
        <v>19.5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S 301-2025</t>
        </is>
      </c>
      <c r="B585" t="inlineStr">
        <is>
          <t>samrådsanmälan</t>
        </is>
      </c>
      <c r="C585" t="inlineStr">
        <is>
          <t>Askåterföring</t>
        </is>
      </c>
      <c r="D585" s="1" t="n">
        <v>45687</v>
      </c>
      <c r="E585" s="1" t="n">
        <v>46312</v>
      </c>
      <c r="F585" t="inlineStr">
        <is>
          <t>VÄSTRA GÖTALANDS LÄN</t>
        </is>
      </c>
      <c r="G585" t="inlineStr">
        <is>
          <t>SVENLJUNGA</t>
        </is>
      </c>
      <c r="I585" t="n">
        <v>34.5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S 1918-2025</t>
        </is>
      </c>
      <c r="B586" t="inlineStr">
        <is>
          <t>samrådsanmälan</t>
        </is>
      </c>
      <c r="C586" t="inlineStr">
        <is>
          <t>Annan skogsbruksåtgärd</t>
        </is>
      </c>
      <c r="D586" s="1" t="n">
        <v>45826</v>
      </c>
      <c r="E586" s="1" t="n">
        <v>46312</v>
      </c>
      <c r="F586" t="inlineStr">
        <is>
          <t>VÄSTRA GÖTALANDS LÄN</t>
        </is>
      </c>
      <c r="G586" t="inlineStr">
        <is>
          <t>SVENLJUNGA</t>
        </is>
      </c>
      <c r="H586" t="inlineStr">
        <is>
          <t>Sveaskog</t>
        </is>
      </c>
      <c r="I586" t="n">
        <v>1.1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S 2181-2025</t>
        </is>
      </c>
      <c r="B587" t="inlineStr">
        <is>
          <t>samrådsanmälan</t>
        </is>
      </c>
      <c r="C587" t="inlineStr">
        <is>
          <t>Annan skogsbruksåtgärd</t>
        </is>
      </c>
      <c r="D587" s="1" t="n">
        <v>45853</v>
      </c>
      <c r="E587" s="1" t="n">
        <v>46312</v>
      </c>
      <c r="F587" t="inlineStr">
        <is>
          <t>VÄSTRA GÖTALANDS LÄN</t>
        </is>
      </c>
      <c r="G587" t="inlineStr">
        <is>
          <t>SVENLJUNGA</t>
        </is>
      </c>
      <c r="I587" t="n">
        <v>0.4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S 2347-2025</t>
        </is>
      </c>
      <c r="B588" t="inlineStr">
        <is>
          <t>samrådsanmälan</t>
        </is>
      </c>
      <c r="C588" t="inlineStr">
        <is>
          <t>Annan skogsbruksåtgärd</t>
        </is>
      </c>
      <c r="D588" s="1" t="n">
        <v>45888</v>
      </c>
      <c r="E588" s="1" t="n">
        <v>46312</v>
      </c>
      <c r="F588" t="inlineStr">
        <is>
          <t>VÄSTRA GÖTALANDS LÄN</t>
        </is>
      </c>
      <c r="G588" t="inlineStr">
        <is>
          <t>SVENLJUNGA</t>
        </is>
      </c>
      <c r="I588" t="n">
        <v>0.2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S 2378-2025</t>
        </is>
      </c>
      <c r="B589" t="inlineStr">
        <is>
          <t>samrådsanmälan</t>
        </is>
      </c>
      <c r="C589" t="inlineStr">
        <is>
          <t>Annan skogsbruksåtgärd</t>
        </is>
      </c>
      <c r="D589" s="1" t="n">
        <v>45891</v>
      </c>
      <c r="E589" s="1" t="n">
        <v>46312</v>
      </c>
      <c r="F589" t="inlineStr">
        <is>
          <t>VÄSTRA GÖTALANDS LÄN</t>
        </is>
      </c>
      <c r="G589" t="inlineStr">
        <is>
          <t>SVENLJUNGA</t>
        </is>
      </c>
      <c r="H589" t="inlineStr">
        <is>
          <t>Övriga Aktiebolag</t>
        </is>
      </c>
      <c r="I589" t="n">
        <v>0.8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S 341-2025</t>
        </is>
      </c>
      <c r="B590" t="inlineStr">
        <is>
          <t>samrådsanmälan</t>
        </is>
      </c>
      <c r="C590" t="inlineStr">
        <is>
          <t>Askåterföring</t>
        </is>
      </c>
      <c r="D590" s="1" t="n">
        <v>45693</v>
      </c>
      <c r="E590" s="1" t="n">
        <v>46312</v>
      </c>
      <c r="F590" t="inlineStr">
        <is>
          <t>VÄSTRA GÖTALANDS LÄN</t>
        </is>
      </c>
      <c r="G590" t="inlineStr">
        <is>
          <t>SVENLJUNGA</t>
        </is>
      </c>
      <c r="I590" t="n">
        <v>28.3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S 2732-2024</t>
        </is>
      </c>
      <c r="B591" t="inlineStr">
        <is>
          <t>samrådsanmälan</t>
        </is>
      </c>
      <c r="C591" t="inlineStr">
        <is>
          <t>Annan skogsbruksåtgärd</t>
        </is>
      </c>
      <c r="D591" s="1" t="n">
        <v>45483</v>
      </c>
      <c r="E591" s="1" t="n">
        <v>46312</v>
      </c>
      <c r="F591" t="inlineStr">
        <is>
          <t>VÄSTRA GÖTALANDS LÄN</t>
        </is>
      </c>
      <c r="G591" t="inlineStr">
        <is>
          <t>SVENLJUNGA</t>
        </is>
      </c>
      <c r="I591" t="n">
        <v>2.9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S 556-2026</t>
        </is>
      </c>
      <c r="B592" t="inlineStr">
        <is>
          <t>samrådsanmälan</t>
        </is>
      </c>
      <c r="C592" t="inlineStr">
        <is>
          <t>Annan skogsbruksåtgärd</t>
        </is>
      </c>
      <c r="D592" s="1" t="n">
        <v>46081</v>
      </c>
      <c r="E592" s="1" t="n">
        <v>46312</v>
      </c>
      <c r="F592" t="inlineStr">
        <is>
          <t>VÄSTRA GÖTALANDS LÄN</t>
        </is>
      </c>
      <c r="G592" t="inlineStr">
        <is>
          <t>SVENLJUNGA</t>
        </is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S 557-2026</t>
        </is>
      </c>
      <c r="B593" t="inlineStr">
        <is>
          <t>samrådsanmälan</t>
        </is>
      </c>
      <c r="C593" t="inlineStr">
        <is>
          <t>Annan skogsbruksåtgärd</t>
        </is>
      </c>
      <c r="D593" s="1" t="n">
        <v>46081</v>
      </c>
      <c r="E593" s="1" t="n">
        <v>46312</v>
      </c>
      <c r="F593" t="inlineStr">
        <is>
          <t>VÄSTRA GÖTALANDS LÄN</t>
        </is>
      </c>
      <c r="G593" t="inlineStr">
        <is>
          <t>SVENLJUNGA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S 559-2026</t>
        </is>
      </c>
      <c r="B594" t="inlineStr">
        <is>
          <t>samrådsanmälan</t>
        </is>
      </c>
      <c r="C594" t="inlineStr">
        <is>
          <t>Askåterföring</t>
        </is>
      </c>
      <c r="D594" s="1" t="n">
        <v>46083</v>
      </c>
      <c r="E594" s="1" t="n">
        <v>46312</v>
      </c>
      <c r="F594" t="inlineStr">
        <is>
          <t>VÄSTRA GÖTALANDS LÄN</t>
        </is>
      </c>
      <c r="G594" t="inlineStr">
        <is>
          <t>SVENLJUNGA</t>
        </is>
      </c>
      <c r="I594" t="n">
        <v>36.5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S 561-2026</t>
        </is>
      </c>
      <c r="B595" t="inlineStr">
        <is>
          <t>samrådsanmälan</t>
        </is>
      </c>
      <c r="C595" t="inlineStr">
        <is>
          <t>Askåterföring</t>
        </is>
      </c>
      <c r="D595" s="1" t="n">
        <v>46083</v>
      </c>
      <c r="E595" s="1" t="n">
        <v>46312</v>
      </c>
      <c r="F595" t="inlineStr">
        <is>
          <t>VÄSTRA GÖTALANDS LÄN</t>
        </is>
      </c>
      <c r="G595" t="inlineStr">
        <is>
          <t>SVENLJUNGA</t>
        </is>
      </c>
      <c r="I595" t="n">
        <v>18.1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S 801-2026</t>
        </is>
      </c>
      <c r="B596" t="inlineStr">
        <is>
          <t>samrådsanmälan</t>
        </is>
      </c>
      <c r="C596" t="inlineStr">
        <is>
          <t>Askåterföring</t>
        </is>
      </c>
      <c r="D596" s="1" t="n">
        <v>46100</v>
      </c>
      <c r="E596" s="1" t="n">
        <v>46312</v>
      </c>
      <c r="F596" t="inlineStr">
        <is>
          <t>VÄSTRA GÖTALANDS LÄN</t>
        </is>
      </c>
      <c r="G596" t="inlineStr">
        <is>
          <t>SVENLJUNGA</t>
        </is>
      </c>
      <c r="I596" t="n">
        <v>3.2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S 789-2026</t>
        </is>
      </c>
      <c r="B597" t="inlineStr">
        <is>
          <t>samrådsanmälan</t>
        </is>
      </c>
      <c r="C597" t="inlineStr">
        <is>
          <t>Askåterföring</t>
        </is>
      </c>
      <c r="D597" s="1" t="n">
        <v>46099</v>
      </c>
      <c r="E597" s="1" t="n">
        <v>46312</v>
      </c>
      <c r="F597" t="inlineStr">
        <is>
          <t>VÄSTRA GÖTALANDS LÄN</t>
        </is>
      </c>
      <c r="G597" t="inlineStr">
        <is>
          <t>SVENLJUNGA</t>
        </is>
      </c>
      <c r="I597" t="n">
        <v>6.3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S 790-2026</t>
        </is>
      </c>
      <c r="B598" t="inlineStr">
        <is>
          <t>samrådsanmälan</t>
        </is>
      </c>
      <c r="C598" t="inlineStr">
        <is>
          <t>Askåterföring</t>
        </is>
      </c>
      <c r="D598" s="1" t="n">
        <v>46099</v>
      </c>
      <c r="E598" s="1" t="n">
        <v>46312</v>
      </c>
      <c r="F598" t="inlineStr">
        <is>
          <t>VÄSTRA GÖTALANDS LÄN</t>
        </is>
      </c>
      <c r="G598" t="inlineStr">
        <is>
          <t>SVENLJUNGA</t>
        </is>
      </c>
      <c r="I598" t="n">
        <v>9.800000000000001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S 994-2026</t>
        </is>
      </c>
      <c r="B599" t="inlineStr">
        <is>
          <t>samrådsanmälan</t>
        </is>
      </c>
      <c r="C599" t="inlineStr">
        <is>
          <t>Askåterföring</t>
        </is>
      </c>
      <c r="D599" s="1" t="n">
        <v>46119</v>
      </c>
      <c r="E599" s="1" t="n">
        <v>46312</v>
      </c>
      <c r="F599" t="inlineStr">
        <is>
          <t>VÄSTRA GÖTALANDS LÄN</t>
        </is>
      </c>
      <c r="G599" t="inlineStr">
        <is>
          <t>SVENLJUNGA</t>
        </is>
      </c>
      <c r="I599" t="n">
        <v>21.2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S 1990-2026</t>
        </is>
      </c>
      <c r="B600" t="inlineStr">
        <is>
          <t>samrådsanmälan</t>
        </is>
      </c>
      <c r="C600" t="inlineStr">
        <is>
          <t>Annan skogsbruksåtgärd</t>
        </is>
      </c>
      <c r="D600" s="1" t="n">
        <v>46206</v>
      </c>
      <c r="E600" s="1" t="n">
        <v>46312</v>
      </c>
      <c r="F600" t="inlineStr">
        <is>
          <t>VÄSTRA GÖTALANDS LÄN</t>
        </is>
      </c>
      <c r="G600" t="inlineStr">
        <is>
          <t>SVENLJUNGA</t>
        </is>
      </c>
      <c r="I600" t="n">
        <v>0.7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S 2331-2026</t>
        </is>
      </c>
      <c r="B601" t="inlineStr">
        <is>
          <t>samrådsanmälan</t>
        </is>
      </c>
      <c r="C601" t="inlineStr">
        <is>
          <t>Annan skogsbruksåtgärd</t>
        </is>
      </c>
      <c r="D601" s="1" t="n">
        <v>46273</v>
      </c>
      <c r="E601" s="1" t="n">
        <v>46312</v>
      </c>
      <c r="F601" t="inlineStr">
        <is>
          <t>VÄSTRA GÖTALANDS LÄN</t>
        </is>
      </c>
      <c r="G601" t="inlineStr">
        <is>
          <t>SVENLJUNGA</t>
        </is>
      </c>
      <c r="H601" t="inlineStr">
        <is>
          <t>Sveaskog</t>
        </is>
      </c>
      <c r="I601" t="n">
        <v>1.7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S 2497-2026</t>
        </is>
      </c>
      <c r="B602" t="inlineStr">
        <is>
          <t>samrådsanmälan</t>
        </is>
      </c>
      <c r="C602" t="inlineStr">
        <is>
          <t>Askåterföring</t>
        </is>
      </c>
      <c r="D602" s="1" t="n">
        <v>46289</v>
      </c>
      <c r="E602" s="1" t="n">
        <v>46312</v>
      </c>
      <c r="F602" t="inlineStr">
        <is>
          <t>VÄSTRA GÖTALANDS LÄN</t>
        </is>
      </c>
      <c r="G602" t="inlineStr">
        <is>
          <t>SVENLJUNGA</t>
        </is>
      </c>
      <c r="I602" t="n">
        <v>1.4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S 2496-2026</t>
        </is>
      </c>
      <c r="B603" t="inlineStr">
        <is>
          <t>samrådsanmälan</t>
        </is>
      </c>
      <c r="C603" t="inlineStr">
        <is>
          <t>Askåterföring</t>
        </is>
      </c>
      <c r="D603" s="1" t="n">
        <v>46289</v>
      </c>
      <c r="E603" s="1" t="n">
        <v>46312</v>
      </c>
      <c r="F603" t="inlineStr">
        <is>
          <t>VÄSTRA GÖTALANDS LÄN</t>
        </is>
      </c>
      <c r="G603" t="inlineStr">
        <is>
          <t>SVENLJUNGA</t>
        </is>
      </c>
      <c r="I603" t="n">
        <v>17.4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>
      <c r="A604" t="inlineStr">
        <is>
          <t>S 2552-2026</t>
        </is>
      </c>
      <c r="B604" t="inlineStr">
        <is>
          <t>samrådsanmälan</t>
        </is>
      </c>
      <c r="C604" t="inlineStr">
        <is>
          <t>Askåterföring</t>
        </is>
      </c>
      <c r="D604" s="1" t="n">
        <v>46294</v>
      </c>
      <c r="E604" s="1" t="n">
        <v>46312</v>
      </c>
      <c r="F604" t="inlineStr">
        <is>
          <t>VÄSTRA GÖTALANDS LÄN</t>
        </is>
      </c>
      <c r="G604" t="inlineStr">
        <is>
          <t>SVENLJUNGA</t>
        </is>
      </c>
      <c r="I604" t="n">
        <v>16.4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2026-10-17T02:05:59Z</dcterms:created>
  <dcterms:modified xmlns:dcterms="http://purl.org/dc/terms/" xmlns:xsi="http://www.w3.org/2001/XMLSchema-instance" xsi:type="dcterms:W3CDTF">2026-10-17T02:05:59Z</dcterms:modified>
</cp:coreProperties>
</file>