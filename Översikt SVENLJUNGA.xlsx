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46314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40847-2026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46296</v>
      </c>
      <c r="E7" s="1" t="n">
        <v>46314</v>
      </c>
      <c r="F7" t="inlineStr">
        <is>
          <t>VÄSTRA GÖTALANDS LÄN</t>
        </is>
      </c>
      <c r="G7" t="inlineStr">
        <is>
          <t>SVENLJUNGA</t>
        </is>
      </c>
      <c r="H7" t="inlineStr">
        <is>
          <t>Sveaskog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Lunglav
Fällmossa</t>
        </is>
      </c>
      <c r="W7">
        <f>HYPERLINK("https://klasma.github.io/Logging_1465/artfynd/A 40847-2026 artfynd.xlsx", "A 40847-2026")</f>
        <v/>
      </c>
      <c r="X7">
        <f>HYPERLINK("https://klasma.github.io/Logging_1465/kartor/A 40847-2026 karta.png", "A 40847-2026")</f>
        <v/>
      </c>
      <c r="Y7">
        <f>HYPERLINK("https://klasma.github.io/Logging_1465/kartor_geotiff/A 40847-2026 georefererad karta.tif", "A 40847-2026")</f>
        <v/>
      </c>
      <c r="AA7">
        <f>HYPERLINK("https://klasma.github.io/Logging_1465/klagomål/A 40847-2026 FSC-klagomål.docx", "A 40847-2026")</f>
        <v/>
      </c>
      <c r="AB7">
        <f>HYPERLINK("https://klasma.github.io/Logging_1465/klagomålsmail/A 40847-2026 FSC-klagomål mail.docx", "A 40847-2026")</f>
        <v/>
      </c>
      <c r="AC7">
        <f>HYPERLINK("https://klasma.github.io/Logging_1465/tillsyn/A 40847-2026 tillsynsbegäran.docx", "A 40847-2026")</f>
        <v/>
      </c>
      <c r="AD7">
        <f>HYPERLINK("https://klasma.github.io/Logging_1465/tillsynsmail/A 40847-2026 tillsynsbegäran mail.docx", "A 40847-2026")</f>
        <v/>
      </c>
    </row>
    <row r="8" ht="15" customHeight="1">
      <c r="A8" t="inlineStr">
        <is>
          <t>A 30792-2025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45831</v>
      </c>
      <c r="E8" s="1" t="n">
        <v>46314</v>
      </c>
      <c r="F8" t="inlineStr">
        <is>
          <t>VÄSTRA GÖTALANDS LÄN</t>
        </is>
      </c>
      <c r="G8" t="inlineStr">
        <is>
          <t>SVENLJUNGA</t>
        </is>
      </c>
      <c r="I8" t="n">
        <v>6.8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Mattlummer
Revlummer</t>
        </is>
      </c>
      <c r="W8">
        <f>HYPERLINK("https://klasma.github.io/Logging_1465/artfynd/A 30792-2025 artfynd.xlsx", "A 30792-2025")</f>
        <v/>
      </c>
      <c r="X8">
        <f>HYPERLINK("https://klasma.github.io/Logging_1465/kartor/A 30792-2025 karta.png", "A 30792-2025")</f>
        <v/>
      </c>
      <c r="Y8">
        <f>HYPERLINK("https://klasma.github.io/Logging_1465/kartor_geotiff/A 30792-2025 georefererad karta.tif", "A 30792-2025")</f>
        <v/>
      </c>
      <c r="AA8">
        <f>HYPERLINK("https://klasma.github.io/Logging_1465/klagomål/A 30792-2025 FSC-klagomål.docx", "A 30792-2025")</f>
        <v/>
      </c>
      <c r="AB8">
        <f>HYPERLINK("https://klasma.github.io/Logging_1465/klagomålsmail/A 30792-2025 FSC-klagomål mail.docx", "A 30792-2025")</f>
        <v/>
      </c>
      <c r="AC8">
        <f>HYPERLINK("https://klasma.github.io/Logging_1465/tillsyn/A 30792-2025 tillsynsbegäran.docx", "A 30792-2025")</f>
        <v/>
      </c>
      <c r="AD8">
        <f>HYPERLINK("https://klasma.github.io/Logging_1465/tillsynsmail/A 30792-2025 tillsynsbegäran mail.docx", "A 30792-2025")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46314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46314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46314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46314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46314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46314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46314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46314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46314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46314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46314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46314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46314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46314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16061-2025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45749</v>
      </c>
      <c r="E23" s="1" t="n">
        <v>46314</v>
      </c>
      <c r="F23" t="inlineStr">
        <is>
          <t>VÄSTRA GÖTALANDS LÄN</t>
        </is>
      </c>
      <c r="G23" t="inlineStr">
        <is>
          <t>SVENLJUNGA</t>
        </is>
      </c>
      <c r="I23" t="n">
        <v>1.9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HYPERLINK("https://klasma.github.io/Logging_1465/artfynd/A 16061-2025 artfynd.xlsx", "A 16061-2025")</f>
        <v/>
      </c>
      <c r="X23">
        <f>HYPERLINK("https://klasma.github.io/Logging_1465/kartor/A 16061-2025 karta.png", "A 16061-2025")</f>
        <v/>
      </c>
      <c r="Y23">
        <f>HYPERLINK("https://klasma.github.io/Logging_1465/kartor_geotiff/A 16061-2025 georefererad karta.tif", "A 16061-2025")</f>
        <v/>
      </c>
      <c r="AA23">
        <f>HYPERLINK("https://klasma.github.io/Logging_1465/klagomål/A 16061-2025 FSC-klagomål.docx", "A 16061-2025")</f>
        <v/>
      </c>
      <c r="AB23">
        <f>HYPERLINK("https://klasma.github.io/Logging_1465/klagomålsmail/A 16061-2025 FSC-klagomål mail.docx", "A 16061-2025")</f>
        <v/>
      </c>
      <c r="AC23">
        <f>HYPERLINK("https://klasma.github.io/Logging_1465/tillsyn/A 16061-2025 tillsynsbegäran.docx", "A 16061-2025")</f>
        <v/>
      </c>
      <c r="AD23">
        <f>HYPERLINK("https://klasma.github.io/Logging_1465/tillsynsmail/A 16061-2025 tillsynsbegäran mail.docx", "A 16061-2025")</f>
        <v/>
      </c>
    </row>
    <row r="24" ht="15" customHeight="1">
      <c r="A24" t="inlineStr">
        <is>
          <t>A 25755-2025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46314</v>
      </c>
      <c r="F24" t="inlineStr">
        <is>
          <t>VÄSTRA GÖTALANDS LÄN</t>
        </is>
      </c>
      <c r="G24" t="inlineStr">
        <is>
          <t>SVENLJUNGA</t>
        </is>
      </c>
      <c r="I24" t="n">
        <v>5.7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HYPERLINK("https://klasma.github.io/Logging_1465/artfynd/A 25755-2025 artfynd.xlsx", "A 25755-2025")</f>
        <v/>
      </c>
      <c r="X24">
        <f>HYPERLINK("https://klasma.github.io/Logging_1465/kartor/A 25755-2025 karta.png", "A 25755-2025")</f>
        <v/>
      </c>
      <c r="Y24">
        <f>HYPERLINK("https://klasma.github.io/Logging_1465/kartor_geotiff/A 25755-2025 georefererad karta.tif", "A 25755-2025")</f>
        <v/>
      </c>
      <c r="AA24">
        <f>HYPERLINK("https://klasma.github.io/Logging_1465/klagomål/A 25755-2025 FSC-klagomål.docx", "A 25755-2025")</f>
        <v/>
      </c>
      <c r="AB24">
        <f>HYPERLINK("https://klasma.github.io/Logging_1465/klagomålsmail/A 25755-2025 FSC-klagomål mail.docx", "A 25755-2025")</f>
        <v/>
      </c>
      <c r="AC24">
        <f>HYPERLINK("https://klasma.github.io/Logging_1465/tillsyn/A 25755-2025 tillsynsbegäran.docx", "A 25755-2025")</f>
        <v/>
      </c>
      <c r="AD24">
        <f>HYPERLINK("https://klasma.github.io/Logging_1465/tillsynsmail/A 25755-2025 tillsynsbegäran mail.docx", "A 25755-2025")</f>
        <v/>
      </c>
    </row>
    <row r="25" ht="15" customHeight="1">
      <c r="A25" t="inlineStr">
        <is>
          <t>A 12658-2025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45733</v>
      </c>
      <c r="E25" s="1" t="n">
        <v>46314</v>
      </c>
      <c r="F25" t="inlineStr">
        <is>
          <t>VÄSTRA GÖTALANDS LÄN</t>
        </is>
      </c>
      <c r="G25" t="inlineStr">
        <is>
          <t>SVENLJUNGA</t>
        </is>
      </c>
      <c r="I25" t="n">
        <v>3.7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HYPERLINK("https://klasma.github.io/Logging_1465/artfynd/A 12658-2025 artfynd.xlsx", "A 12658-2025")</f>
        <v/>
      </c>
      <c r="X25">
        <f>HYPERLINK("https://klasma.github.io/Logging_1465/kartor/A 12658-2025 karta.png", "A 12658-2025")</f>
        <v/>
      </c>
      <c r="Y25">
        <f>HYPERLINK("https://klasma.github.io/Logging_1465/kartor_geotiff/A 12658-2025 georefererad karta.tif", "A 12658-2025")</f>
        <v/>
      </c>
      <c r="AA25">
        <f>HYPERLINK("https://klasma.github.io/Logging_1465/klagomål/A 12658-2025 FSC-klagomål.docx", "A 12658-2025")</f>
        <v/>
      </c>
      <c r="AB25">
        <f>HYPERLINK("https://klasma.github.io/Logging_1465/klagomålsmail/A 12658-2025 FSC-klagomål mail.docx", "A 12658-2025")</f>
        <v/>
      </c>
      <c r="AC25">
        <f>HYPERLINK("https://klasma.github.io/Logging_1465/tillsyn/A 12658-2025 tillsynsbegäran.docx", "A 12658-2025")</f>
        <v/>
      </c>
      <c r="AD25">
        <f>HYPERLINK("https://klasma.github.io/Logging_1465/tillsynsmail/A 12658-2025 tillsynsbegäran mail.docx", "A 12658-2025")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46314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46314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46314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46314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46314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46314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46314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46314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46314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46314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46314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46314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46314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46314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46314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46314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46314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46314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46314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46314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46314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46314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46314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46314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46314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46314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46314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46314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46314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46314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46314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46314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46314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46314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46314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46314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46314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46314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46314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46314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46314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46314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46314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46314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46314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46314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46314</v>
      </c>
      <c r="F72" t="inlineStr">
        <is>
          <t>VÄSTRA GÖTALANDS LÄN</t>
        </is>
      </c>
      <c r="G72" t="inlineStr">
        <is>
          <t>SVENLJUNGA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46314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46314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46314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46314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46314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46314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46314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46314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46314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46314</v>
      </c>
      <c r="F82" t="inlineStr">
        <is>
          <t>VÄSTRA GÖTALANDS LÄN</t>
        </is>
      </c>
      <c r="G82" t="inlineStr">
        <is>
          <t>SVENLJUNGA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46314</v>
      </c>
      <c r="F83" t="inlineStr">
        <is>
          <t>VÄSTRA GÖTALANDS LÄN</t>
        </is>
      </c>
      <c r="G83" t="inlineStr">
        <is>
          <t>SVENLJUNGA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46314</v>
      </c>
      <c r="F84" t="inlineStr">
        <is>
          <t>VÄSTRA GÖTALANDS LÄN</t>
        </is>
      </c>
      <c r="G84" t="inlineStr">
        <is>
          <t>SVENLJUNGA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46314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46314</v>
      </c>
      <c r="F86" t="inlineStr">
        <is>
          <t>VÄSTRA GÖTALANDS LÄN</t>
        </is>
      </c>
      <c r="G86" t="inlineStr">
        <is>
          <t>SVENLJUNGA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46314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46314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46314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46314</v>
      </c>
      <c r="F90" t="inlineStr">
        <is>
          <t>VÄSTRA GÖTALANDS LÄN</t>
        </is>
      </c>
      <c r="G90" t="inlineStr">
        <is>
          <t>SVENLJUNGA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46314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46314</v>
      </c>
      <c r="F92" t="inlineStr">
        <is>
          <t>VÄSTRA GÖTALANDS LÄN</t>
        </is>
      </c>
      <c r="G92" t="inlineStr">
        <is>
          <t>SVENLJUNGA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46314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46314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46314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46314</v>
      </c>
      <c r="F96" t="inlineStr">
        <is>
          <t>VÄSTRA GÖTALANDS LÄN</t>
        </is>
      </c>
      <c r="G96" t="inlineStr">
        <is>
          <t>SVENLJUNGA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46314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46314</v>
      </c>
      <c r="F98" t="inlineStr">
        <is>
          <t>VÄSTRA GÖTALANDS LÄN</t>
        </is>
      </c>
      <c r="G98" t="inlineStr">
        <is>
          <t>SVENLJUNGA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52629-2024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45610</v>
      </c>
      <c r="E99" s="1" t="n">
        <v>46314</v>
      </c>
      <c r="F99" t="inlineStr">
        <is>
          <t>VÄSTRA GÖTALANDS LÄN</t>
        </is>
      </c>
      <c r="G99" t="inlineStr">
        <is>
          <t>SVENLJUNGA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46314</v>
      </c>
      <c r="F100" t="inlineStr">
        <is>
          <t>VÄSTRA GÖTALANDS LÄN</t>
        </is>
      </c>
      <c r="G100" t="inlineStr">
        <is>
          <t>SVENLJUNGA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46314</v>
      </c>
      <c r="F101" t="inlineStr">
        <is>
          <t>VÄSTRA GÖTALANDS LÄN</t>
        </is>
      </c>
      <c r="G101" t="inlineStr">
        <is>
          <t>SVENLJUNGA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45361</v>
      </c>
      <c r="E102" s="1" t="n">
        <v>46314</v>
      </c>
      <c r="F102" t="inlineStr">
        <is>
          <t>VÄSTRA GÖTALANDS LÄN</t>
        </is>
      </c>
      <c r="G102" t="inlineStr">
        <is>
          <t>SVENLJUNGA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46314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46314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46314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46314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46314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45509</v>
      </c>
      <c r="E108" s="1" t="n">
        <v>46314</v>
      </c>
      <c r="F108" t="inlineStr">
        <is>
          <t>VÄSTRA GÖTALANDS LÄN</t>
        </is>
      </c>
      <c r="G108" t="inlineStr">
        <is>
          <t>SVENLJUNGA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46314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45354</v>
      </c>
      <c r="E110" s="1" t="n">
        <v>46314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46314</v>
      </c>
      <c r="F111" t="inlineStr">
        <is>
          <t>VÄSTRA GÖTALANDS LÄN</t>
        </is>
      </c>
      <c r="G111" t="inlineStr">
        <is>
          <t>SVENLJUNGA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46314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46314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46314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46314</v>
      </c>
      <c r="F115" t="inlineStr">
        <is>
          <t>VÄSTRA GÖTALANDS LÄN</t>
        </is>
      </c>
      <c r="G115" t="inlineStr">
        <is>
          <t>SVENLJUNGA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46314</v>
      </c>
      <c r="F116" t="inlineStr">
        <is>
          <t>VÄSTRA GÖTALANDS LÄN</t>
        </is>
      </c>
      <c r="G116" t="inlineStr">
        <is>
          <t>SVENLJUNGA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44898</v>
      </c>
      <c r="E117" s="1" t="n">
        <v>46314</v>
      </c>
      <c r="F117" t="inlineStr">
        <is>
          <t>VÄSTRA GÖTALANDS LÄN</t>
        </is>
      </c>
      <c r="G117" t="inlineStr">
        <is>
          <t>SVENLJUNGA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46314</v>
      </c>
      <c r="F118" t="inlineStr">
        <is>
          <t>VÄSTRA GÖTALANDS LÄN</t>
        </is>
      </c>
      <c r="G118" t="inlineStr">
        <is>
          <t>SVENLJUNGA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46314</v>
      </c>
      <c r="F119" t="inlineStr">
        <is>
          <t>VÄSTRA GÖTALANDS LÄN</t>
        </is>
      </c>
      <c r="G119" t="inlineStr">
        <is>
          <t>SVENLJUNGA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45569</v>
      </c>
      <c r="E120" s="1" t="n">
        <v>46314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44988</v>
      </c>
      <c r="E121" s="1" t="n">
        <v>46314</v>
      </c>
      <c r="F121" t="inlineStr">
        <is>
          <t>VÄSTRA GÖTALANDS LÄN</t>
        </is>
      </c>
      <c r="G121" t="inlineStr">
        <is>
          <t>SVENLJUNGA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46314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46314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46314</v>
      </c>
      <c r="F124" t="inlineStr">
        <is>
          <t>VÄSTRA GÖTALANDS LÄN</t>
        </is>
      </c>
      <c r="G124" t="inlineStr">
        <is>
          <t>SVENLJUNGA</t>
        </is>
      </c>
      <c r="I124" t="n">
        <v>12.2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46314</v>
      </c>
      <c r="F125" t="inlineStr">
        <is>
          <t>VÄSTRA GÖTALANDS LÄN</t>
        </is>
      </c>
      <c r="G125" t="inlineStr">
        <is>
          <t>SVENLJUNGA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46314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46314</v>
      </c>
      <c r="F127" t="inlineStr">
        <is>
          <t>VÄSTRA GÖTALANDS LÄN</t>
        </is>
      </c>
      <c r="G127" t="inlineStr">
        <is>
          <t>SVENLJUNGA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46314</v>
      </c>
      <c r="F128" t="inlineStr">
        <is>
          <t>VÄSTRA GÖTALANDS LÄN</t>
        </is>
      </c>
      <c r="G128" t="inlineStr">
        <is>
          <t>SVENLJUNGA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46314</v>
      </c>
      <c r="F129" t="inlineStr">
        <is>
          <t>VÄSTRA GÖTALANDS LÄN</t>
        </is>
      </c>
      <c r="G129" t="inlineStr">
        <is>
          <t>SVENLJUNGA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46314</v>
      </c>
      <c r="F130" t="inlineStr">
        <is>
          <t>VÄSTRA GÖTALANDS LÄN</t>
        </is>
      </c>
      <c r="G130" t="inlineStr">
        <is>
          <t>SVENLJUNGA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45559</v>
      </c>
      <c r="E131" s="1" t="n">
        <v>46314</v>
      </c>
      <c r="F131" t="inlineStr">
        <is>
          <t>VÄSTRA GÖTALANDS LÄN</t>
        </is>
      </c>
      <c r="G131" t="inlineStr">
        <is>
          <t>SVENLJUNGA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44832</v>
      </c>
      <c r="E132" s="1" t="n">
        <v>46314</v>
      </c>
      <c r="F132" t="inlineStr">
        <is>
          <t>VÄSTRA GÖTALANDS LÄN</t>
        </is>
      </c>
      <c r="G132" t="inlineStr">
        <is>
          <t>SVENLJUNGA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46314</v>
      </c>
      <c r="F133" t="inlineStr">
        <is>
          <t>VÄSTRA GÖTALANDS LÄN</t>
        </is>
      </c>
      <c r="G133" t="inlineStr">
        <is>
          <t>SVENLJUNGA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45000</v>
      </c>
      <c r="E134" s="1" t="n">
        <v>46314</v>
      </c>
      <c r="F134" t="inlineStr">
        <is>
          <t>VÄSTRA GÖTALANDS LÄN</t>
        </is>
      </c>
      <c r="G134" t="inlineStr">
        <is>
          <t>SVENLJUNGA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46314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46314</v>
      </c>
      <c r="F136" t="inlineStr">
        <is>
          <t>VÄSTRA GÖTALANDS LÄN</t>
        </is>
      </c>
      <c r="G136" t="inlineStr">
        <is>
          <t>SVENLJUNGA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46314</v>
      </c>
      <c r="F137" t="inlineStr">
        <is>
          <t>VÄSTRA GÖTALANDS LÄN</t>
        </is>
      </c>
      <c r="G137" t="inlineStr">
        <is>
          <t>SVENLJUNGA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45376</v>
      </c>
      <c r="E138" s="1" t="n">
        <v>46314</v>
      </c>
      <c r="F138" t="inlineStr">
        <is>
          <t>VÄSTRA GÖTALANDS LÄN</t>
        </is>
      </c>
      <c r="G138" t="inlineStr">
        <is>
          <t>SVENLJUNGA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45726</v>
      </c>
      <c r="E139" s="1" t="n">
        <v>46314</v>
      </c>
      <c r="F139" t="inlineStr">
        <is>
          <t>VÄSTRA GÖTALANDS LÄN</t>
        </is>
      </c>
      <c r="G139" t="inlineStr">
        <is>
          <t>SVENLJUNGA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66109-2021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46314</v>
      </c>
      <c r="F140" t="inlineStr">
        <is>
          <t>VÄSTRA GÖTALANDS LÄN</t>
        </is>
      </c>
      <c r="G140" t="inlineStr">
        <is>
          <t>SVENLJUNGA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46314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46314</v>
      </c>
      <c r="F142" t="inlineStr">
        <is>
          <t>VÄSTRA GÖTALANDS LÄN</t>
        </is>
      </c>
      <c r="G142" t="inlineStr">
        <is>
          <t>SVENLJUNGA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46314</v>
      </c>
      <c r="F143" t="inlineStr">
        <is>
          <t>VÄSTRA GÖTALANDS LÄN</t>
        </is>
      </c>
      <c r="G143" t="inlineStr">
        <is>
          <t>SVENLJUNGA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46314</v>
      </c>
      <c r="F144" t="inlineStr">
        <is>
          <t>VÄSTRA GÖTALANDS LÄN</t>
        </is>
      </c>
      <c r="G144" t="inlineStr">
        <is>
          <t>SVENLJUNGA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45411</v>
      </c>
      <c r="E145" s="1" t="n">
        <v>46314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46314</v>
      </c>
      <c r="F146" t="inlineStr">
        <is>
          <t>VÄSTRA GÖTALANDS LÄN</t>
        </is>
      </c>
      <c r="G146" t="inlineStr">
        <is>
          <t>SVENLJUNGA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45730</v>
      </c>
      <c r="E147" s="1" t="n">
        <v>46314</v>
      </c>
      <c r="F147" t="inlineStr">
        <is>
          <t>VÄSTRA GÖTALANDS LÄN</t>
        </is>
      </c>
      <c r="G147" t="inlineStr">
        <is>
          <t>SVENLJUNGA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46314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46314</v>
      </c>
      <c r="F149" t="inlineStr">
        <is>
          <t>VÄSTRA GÖTALANDS LÄN</t>
        </is>
      </c>
      <c r="G149" t="inlineStr">
        <is>
          <t>SVENLJUNGA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46314</v>
      </c>
      <c r="F150" t="inlineStr">
        <is>
          <t>VÄSTRA GÖTALANDS LÄN</t>
        </is>
      </c>
      <c r="G150" t="inlineStr">
        <is>
          <t>SVENLJUNGA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46314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46314</v>
      </c>
      <c r="F152" t="inlineStr">
        <is>
          <t>VÄSTRA GÖTALANDS LÄN</t>
        </is>
      </c>
      <c r="G152" t="inlineStr">
        <is>
          <t>SVENLJUNGA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46314</v>
      </c>
      <c r="F153" t="inlineStr">
        <is>
          <t>VÄSTRA GÖTALANDS LÄN</t>
        </is>
      </c>
      <c r="G153" t="inlineStr">
        <is>
          <t>SVENLJUNGA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46314</v>
      </c>
      <c r="F154" t="inlineStr">
        <is>
          <t>VÄSTRA GÖTALANDS LÄN</t>
        </is>
      </c>
      <c r="G154" t="inlineStr">
        <is>
          <t>SVENLJUNGA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46314</v>
      </c>
      <c r="F155" t="inlineStr">
        <is>
          <t>VÄSTRA GÖTALANDS LÄN</t>
        </is>
      </c>
      <c r="G155" t="inlineStr">
        <is>
          <t>SVENLJUNGA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46314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46314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46314</v>
      </c>
      <c r="F158" t="inlineStr">
        <is>
          <t>VÄSTRA GÖTALANDS LÄN</t>
        </is>
      </c>
      <c r="G158" t="inlineStr">
        <is>
          <t>SVENLJUNGA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46314</v>
      </c>
      <c r="F159" t="inlineStr">
        <is>
          <t>VÄSTRA GÖTALANDS LÄN</t>
        </is>
      </c>
      <c r="G159" t="inlineStr">
        <is>
          <t>SVENLJUNGA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46314</v>
      </c>
      <c r="F160" t="inlineStr">
        <is>
          <t>VÄSTRA GÖTALANDS LÄN</t>
        </is>
      </c>
      <c r="G160" t="inlineStr">
        <is>
          <t>SVENLJUNGA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46314</v>
      </c>
      <c r="F161" t="inlineStr">
        <is>
          <t>VÄSTRA GÖTALANDS LÄN</t>
        </is>
      </c>
      <c r="G161" t="inlineStr">
        <is>
          <t>SVENLJUNGA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46314</v>
      </c>
      <c r="F162" t="inlineStr">
        <is>
          <t>VÄSTRA GÖTALANDS LÄN</t>
        </is>
      </c>
      <c r="G162" t="inlineStr">
        <is>
          <t>SVENLJUNGA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46314</v>
      </c>
      <c r="F163" t="inlineStr">
        <is>
          <t>VÄSTRA GÖTALANDS LÄN</t>
        </is>
      </c>
      <c r="G163" t="inlineStr">
        <is>
          <t>SVENLJUNGA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46314</v>
      </c>
      <c r="F164" t="inlineStr">
        <is>
          <t>VÄSTRA GÖTALANDS LÄN</t>
        </is>
      </c>
      <c r="G164" t="inlineStr">
        <is>
          <t>SVENLJUNGA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46314</v>
      </c>
      <c r="F165" t="inlineStr">
        <is>
          <t>VÄSTRA GÖTALANDS LÄN</t>
        </is>
      </c>
      <c r="G165" t="inlineStr">
        <is>
          <t>SVENLJUNGA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46314</v>
      </c>
      <c r="F166" t="inlineStr">
        <is>
          <t>VÄSTRA GÖTALANDS LÄN</t>
        </is>
      </c>
      <c r="G166" t="inlineStr">
        <is>
          <t>SVENLJUNGA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44613</v>
      </c>
      <c r="E167" s="1" t="n">
        <v>46314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57904-2021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44486</v>
      </c>
      <c r="E168" s="1" t="n">
        <v>46314</v>
      </c>
      <c r="F168" t="inlineStr">
        <is>
          <t>VÄSTRA GÖTALANDS LÄN</t>
        </is>
      </c>
      <c r="G168" t="inlineStr">
        <is>
          <t>SVENLJUNGA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28271-2023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45099</v>
      </c>
      <c r="E169" s="1" t="n">
        <v>46314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46314</v>
      </c>
      <c r="F170" t="inlineStr">
        <is>
          <t>VÄSTRA GÖTALANDS LÄN</t>
        </is>
      </c>
      <c r="G170" t="inlineStr">
        <is>
          <t>SVENLJUNGA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46314</v>
      </c>
      <c r="F171" t="inlineStr">
        <is>
          <t>VÄSTRA GÖTALANDS LÄN</t>
        </is>
      </c>
      <c r="G171" t="inlineStr">
        <is>
          <t>SVENLJUNGA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45867</v>
      </c>
      <c r="E172" s="1" t="n">
        <v>46314</v>
      </c>
      <c r="F172" t="inlineStr">
        <is>
          <t>VÄSTRA GÖTALANDS LÄN</t>
        </is>
      </c>
      <c r="G172" t="inlineStr">
        <is>
          <t>SVENLJUNGA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46314</v>
      </c>
      <c r="F173" t="inlineStr">
        <is>
          <t>VÄSTRA GÖTALANDS LÄN</t>
        </is>
      </c>
      <c r="G173" t="inlineStr">
        <is>
          <t>SVENLJUNGA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46314</v>
      </c>
      <c r="F174" t="inlineStr">
        <is>
          <t>VÄSTRA GÖTALANDS LÄN</t>
        </is>
      </c>
      <c r="G174" t="inlineStr">
        <is>
          <t>SVENLJUNGA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46314</v>
      </c>
      <c r="F175" t="inlineStr">
        <is>
          <t>VÄSTRA GÖTALANDS LÄN</t>
        </is>
      </c>
      <c r="G175" t="inlineStr">
        <is>
          <t>SVENLJUNGA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46314</v>
      </c>
      <c r="F176" t="inlineStr">
        <is>
          <t>VÄSTRA GÖTALANDS LÄN</t>
        </is>
      </c>
      <c r="G176" t="inlineStr">
        <is>
          <t>SVENLJUNGA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58389-2022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44901</v>
      </c>
      <c r="E177" s="1" t="n">
        <v>46314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46314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46314</v>
      </c>
      <c r="F179" t="inlineStr">
        <is>
          <t>VÄSTRA GÖTALANDS LÄN</t>
        </is>
      </c>
      <c r="G179" t="inlineStr">
        <is>
          <t>SVENLJUNGA</t>
        </is>
      </c>
      <c r="I179" t="n">
        <v>18.8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46314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46314</v>
      </c>
      <c r="F181" t="inlineStr">
        <is>
          <t>VÄSTRA GÖTALANDS LÄN</t>
        </is>
      </c>
      <c r="G181" t="inlineStr">
        <is>
          <t>SVENLJUNGA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45354</v>
      </c>
      <c r="E182" s="1" t="n">
        <v>46314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46314</v>
      </c>
      <c r="F183" t="inlineStr">
        <is>
          <t>VÄSTRA GÖTALANDS LÄN</t>
        </is>
      </c>
      <c r="G183" t="inlineStr">
        <is>
          <t>SVENLJUNGA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46314</v>
      </c>
      <c r="F184" t="inlineStr">
        <is>
          <t>VÄSTRA GÖTALANDS LÄN</t>
        </is>
      </c>
      <c r="G184" t="inlineStr">
        <is>
          <t>SVENLJUNGA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46314</v>
      </c>
      <c r="F185" t="inlineStr">
        <is>
          <t>VÄSTRA GÖTALANDS LÄN</t>
        </is>
      </c>
      <c r="G185" t="inlineStr">
        <is>
          <t>SVENLJUNGA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46314</v>
      </c>
      <c r="F186" t="inlineStr">
        <is>
          <t>VÄSTRA GÖTALANDS LÄN</t>
        </is>
      </c>
      <c r="G186" t="inlineStr">
        <is>
          <t>SVENLJUNGA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46314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46314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Kommuner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46314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46314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46314</v>
      </c>
      <c r="F191" t="inlineStr">
        <is>
          <t>VÄSTRA GÖTALANDS LÄN</t>
        </is>
      </c>
      <c r="G191" t="inlineStr">
        <is>
          <t>SVENLJUNGA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46314</v>
      </c>
      <c r="F192" t="inlineStr">
        <is>
          <t>VÄSTRA GÖTALANDS LÄN</t>
        </is>
      </c>
      <c r="G192" t="inlineStr">
        <is>
          <t>SVENLJUNGA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46314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46314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46314</v>
      </c>
      <c r="F195" t="inlineStr">
        <is>
          <t>VÄSTRA GÖTALANDS LÄN</t>
        </is>
      </c>
      <c r="G195" t="inlineStr">
        <is>
          <t>SVENLJUNGA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46314</v>
      </c>
      <c r="F196" t="inlineStr">
        <is>
          <t>VÄSTRA GÖTALANDS LÄN</t>
        </is>
      </c>
      <c r="G196" t="inlineStr">
        <is>
          <t>SVENLJUNGA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46314</v>
      </c>
      <c r="F197" t="inlineStr">
        <is>
          <t>VÄSTRA GÖTALANDS LÄN</t>
        </is>
      </c>
      <c r="G197" t="inlineStr">
        <is>
          <t>SVENLJUNGA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46314</v>
      </c>
      <c r="F198" t="inlineStr">
        <is>
          <t>VÄSTRA GÖTALANDS LÄN</t>
        </is>
      </c>
      <c r="G198" t="inlineStr">
        <is>
          <t>SVENLJUNGA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46314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46314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46314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46314</v>
      </c>
      <c r="F202" t="inlineStr">
        <is>
          <t>VÄSTRA GÖTALANDS LÄN</t>
        </is>
      </c>
      <c r="G202" t="inlineStr">
        <is>
          <t>SVENLJUNGA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46314</v>
      </c>
      <c r="F203" t="inlineStr">
        <is>
          <t>VÄSTRA GÖTALANDS LÄN</t>
        </is>
      </c>
      <c r="G203" t="inlineStr">
        <is>
          <t>SVENLJUNGA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46314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46314</v>
      </c>
      <c r="F205" t="inlineStr">
        <is>
          <t>VÄSTRA GÖTALANDS LÄN</t>
        </is>
      </c>
      <c r="G205" t="inlineStr">
        <is>
          <t>SVENLJUNGA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46314</v>
      </c>
      <c r="F206" t="inlineStr">
        <is>
          <t>VÄSTRA GÖTALANDS LÄN</t>
        </is>
      </c>
      <c r="G206" t="inlineStr">
        <is>
          <t>SVENLJUNGA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46314</v>
      </c>
      <c r="F207" t="inlineStr">
        <is>
          <t>VÄSTRA GÖTALANDS LÄN</t>
        </is>
      </c>
      <c r="G207" t="inlineStr">
        <is>
          <t>SVENLJUNGA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46314</v>
      </c>
      <c r="F208" t="inlineStr">
        <is>
          <t>VÄSTRA GÖTALANDS LÄN</t>
        </is>
      </c>
      <c r="G208" t="inlineStr">
        <is>
          <t>SVENLJUNGA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46314</v>
      </c>
      <c r="F209" t="inlineStr">
        <is>
          <t>VÄSTRA GÖTALANDS LÄN</t>
        </is>
      </c>
      <c r="G209" t="inlineStr">
        <is>
          <t>SVENLJUNGA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46314</v>
      </c>
      <c r="F210" t="inlineStr">
        <is>
          <t>VÄSTRA GÖTALANDS LÄN</t>
        </is>
      </c>
      <c r="G210" t="inlineStr">
        <is>
          <t>SVENLJUNGA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46314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44878-2025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45918</v>
      </c>
      <c r="E212" s="1" t="n">
        <v>46314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46314</v>
      </c>
      <c r="F213" t="inlineStr">
        <is>
          <t>VÄSTRA GÖTALANDS LÄN</t>
        </is>
      </c>
      <c r="G213" t="inlineStr">
        <is>
          <t>SVENLJUNGA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46314</v>
      </c>
      <c r="F214" t="inlineStr">
        <is>
          <t>VÄSTRA GÖTALANDS LÄN</t>
        </is>
      </c>
      <c r="G214" t="inlineStr">
        <is>
          <t>SVENLJUNGA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45609</v>
      </c>
      <c r="E215" s="1" t="n">
        <v>46314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46314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52616-2024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45609</v>
      </c>
      <c r="E217" s="1" t="n">
        <v>46314</v>
      </c>
      <c r="F217" t="inlineStr">
        <is>
          <t>VÄSTRA GÖTALANDS LÄN</t>
        </is>
      </c>
      <c r="G217" t="inlineStr">
        <is>
          <t>SVENLJUNGA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46314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46314</v>
      </c>
      <c r="F219" t="inlineStr">
        <is>
          <t>VÄSTRA GÖTALANDS LÄN</t>
        </is>
      </c>
      <c r="G219" t="inlineStr">
        <is>
          <t>SVENLJUNGA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46314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46314</v>
      </c>
      <c r="F221" t="inlineStr">
        <is>
          <t>VÄSTRA GÖTALANDS LÄN</t>
        </is>
      </c>
      <c r="G221" t="inlineStr">
        <is>
          <t>SVENLJUNGA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46314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46314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46314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46150</v>
      </c>
      <c r="E225" s="1" t="n">
        <v>46314</v>
      </c>
      <c r="F225" t="inlineStr">
        <is>
          <t>VÄSTRA GÖTALANDS LÄN</t>
        </is>
      </c>
      <c r="G225" t="inlineStr">
        <is>
          <t>SVENLJUNGA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46314</v>
      </c>
      <c r="F226" t="inlineStr">
        <is>
          <t>VÄSTRA GÖTALANDS LÄN</t>
        </is>
      </c>
      <c r="G226" t="inlineStr">
        <is>
          <t>SVENLJUNGA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46314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46314</v>
      </c>
      <c r="F228" t="inlineStr">
        <is>
          <t>VÄSTRA GÖTALANDS LÄN</t>
        </is>
      </c>
      <c r="G228" t="inlineStr">
        <is>
          <t>SVENLJUNGA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46314</v>
      </c>
      <c r="F229" t="inlineStr">
        <is>
          <t>VÄSTRA GÖTALANDS LÄN</t>
        </is>
      </c>
      <c r="G229" t="inlineStr">
        <is>
          <t>SVENLJUNGA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45489</v>
      </c>
      <c r="E230" s="1" t="n">
        <v>46314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46314</v>
      </c>
      <c r="F231" t="inlineStr">
        <is>
          <t>VÄSTRA GÖTALANDS LÄN</t>
        </is>
      </c>
      <c r="G231" t="inlineStr">
        <is>
          <t>SVENLJUNGA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46314</v>
      </c>
      <c r="F232" t="inlineStr">
        <is>
          <t>VÄSTRA GÖTALANDS LÄN</t>
        </is>
      </c>
      <c r="G232" t="inlineStr">
        <is>
          <t>SVENLJUNGA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42028-2024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46314</v>
      </c>
      <c r="F233" t="inlineStr">
        <is>
          <t>VÄSTRA GÖTALANDS LÄN</t>
        </is>
      </c>
      <c r="G233" t="inlineStr">
        <is>
          <t>SVENLJUNGA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46314</v>
      </c>
      <c r="F234" t="inlineStr">
        <is>
          <t>VÄSTRA GÖTALANDS LÄN</t>
        </is>
      </c>
      <c r="G234" t="inlineStr">
        <is>
          <t>SVENLJUNGA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46314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46314</v>
      </c>
      <c r="F236" t="inlineStr">
        <is>
          <t>VÄSTRA GÖTALANDS LÄN</t>
        </is>
      </c>
      <c r="G236" t="inlineStr">
        <is>
          <t>SVENLJUNGA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59739-2021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46314</v>
      </c>
      <c r="F237" t="inlineStr">
        <is>
          <t>VÄSTRA GÖTALANDS LÄN</t>
        </is>
      </c>
      <c r="G237" t="inlineStr">
        <is>
          <t>SVENLJUNGA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46314</v>
      </c>
      <c r="F238" t="inlineStr">
        <is>
          <t>VÄSTRA GÖTALANDS LÄN</t>
        </is>
      </c>
      <c r="G238" t="inlineStr">
        <is>
          <t>SVENLJUNGA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46314</v>
      </c>
      <c r="F239" t="inlineStr">
        <is>
          <t>VÄSTRA GÖTALANDS LÄN</t>
        </is>
      </c>
      <c r="G239" t="inlineStr">
        <is>
          <t>SVENLJUNGA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60561-2024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45644</v>
      </c>
      <c r="E240" s="1" t="n">
        <v>46314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46314</v>
      </c>
      <c r="F241" t="inlineStr">
        <is>
          <t>VÄSTRA GÖTALANDS LÄN</t>
        </is>
      </c>
      <c r="G241" t="inlineStr">
        <is>
          <t>SVENLJUNGA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46314</v>
      </c>
      <c r="F242" t="inlineStr">
        <is>
          <t>VÄSTRA GÖTALANDS LÄN</t>
        </is>
      </c>
      <c r="G242" t="inlineStr">
        <is>
          <t>SVENLJUNGA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46314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46314</v>
      </c>
      <c r="F244" t="inlineStr">
        <is>
          <t>VÄSTRA GÖTALANDS LÄN</t>
        </is>
      </c>
      <c r="G244" t="inlineStr">
        <is>
          <t>SVENLJUNGA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44617</v>
      </c>
      <c r="E245" s="1" t="n">
        <v>46314</v>
      </c>
      <c r="F245" t="inlineStr">
        <is>
          <t>VÄSTRA GÖTALANDS LÄN</t>
        </is>
      </c>
      <c r="G245" t="inlineStr">
        <is>
          <t>SVENLJUNGA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46314</v>
      </c>
      <c r="F246" t="inlineStr">
        <is>
          <t>VÄSTRA GÖTALANDS LÄN</t>
        </is>
      </c>
      <c r="G246" t="inlineStr">
        <is>
          <t>SVENLJUNGA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46314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45566</v>
      </c>
      <c r="E248" s="1" t="n">
        <v>46314</v>
      </c>
      <c r="F248" t="inlineStr">
        <is>
          <t>VÄSTRA GÖTALANDS LÄN</t>
        </is>
      </c>
      <c r="G248" t="inlineStr">
        <is>
          <t>SVENLJUNGA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46314</v>
      </c>
      <c r="F249" t="inlineStr">
        <is>
          <t>VÄSTRA GÖTALANDS LÄN</t>
        </is>
      </c>
      <c r="G249" t="inlineStr">
        <is>
          <t>SVENLJUNGA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45738</v>
      </c>
      <c r="E250" s="1" t="n">
        <v>46314</v>
      </c>
      <c r="F250" t="inlineStr">
        <is>
          <t>VÄSTRA GÖTALANDS LÄN</t>
        </is>
      </c>
      <c r="G250" t="inlineStr">
        <is>
          <t>SVENLJUNGA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46314</v>
      </c>
      <c r="F251" t="inlineStr">
        <is>
          <t>VÄSTRA GÖTALANDS LÄN</t>
        </is>
      </c>
      <c r="G251" t="inlineStr">
        <is>
          <t>SVENLJUNGA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44616</v>
      </c>
      <c r="E252" s="1" t="n">
        <v>46314</v>
      </c>
      <c r="F252" t="inlineStr">
        <is>
          <t>VÄSTRA GÖTALANDS LÄN</t>
        </is>
      </c>
      <c r="G252" t="inlineStr">
        <is>
          <t>SVENLJUNGA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48758-2022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44859</v>
      </c>
      <c r="E253" s="1" t="n">
        <v>46314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44614</v>
      </c>
      <c r="E254" s="1" t="n">
        <v>46314</v>
      </c>
      <c r="F254" t="inlineStr">
        <is>
          <t>VÄSTRA GÖTALANDS LÄN</t>
        </is>
      </c>
      <c r="G254" t="inlineStr">
        <is>
          <t>SVENLJUNGA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46314</v>
      </c>
      <c r="F255" t="inlineStr">
        <is>
          <t>VÄSTRA GÖTALANDS LÄN</t>
        </is>
      </c>
      <c r="G255" t="inlineStr">
        <is>
          <t>SVENLJUNGA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46314</v>
      </c>
      <c r="F256" t="inlineStr">
        <is>
          <t>VÄSTRA GÖTALANDS LÄN</t>
        </is>
      </c>
      <c r="G256" t="inlineStr">
        <is>
          <t>SVENLJUNGA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46314</v>
      </c>
      <c r="F257" t="inlineStr">
        <is>
          <t>VÄSTRA GÖTALANDS LÄN</t>
        </is>
      </c>
      <c r="G257" t="inlineStr">
        <is>
          <t>SVENLJUNGA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46314</v>
      </c>
      <c r="F258" t="inlineStr">
        <is>
          <t>VÄSTRA GÖTALANDS LÄN</t>
        </is>
      </c>
      <c r="G258" t="inlineStr">
        <is>
          <t>SVENLJUNGA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46314</v>
      </c>
      <c r="F259" t="inlineStr">
        <is>
          <t>VÄSTRA GÖTALANDS LÄN</t>
        </is>
      </c>
      <c r="G259" t="inlineStr">
        <is>
          <t>SVENLJUNGA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46314</v>
      </c>
      <c r="F260" t="inlineStr">
        <is>
          <t>VÄSTRA GÖTALANDS LÄN</t>
        </is>
      </c>
      <c r="G260" t="inlineStr">
        <is>
          <t>SVENLJUNGA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46314</v>
      </c>
      <c r="F261" t="inlineStr">
        <is>
          <t>VÄSTRA GÖTALANDS LÄN</t>
        </is>
      </c>
      <c r="G261" t="inlineStr">
        <is>
          <t>SVENLJUNGA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46314</v>
      </c>
      <c r="F262" t="inlineStr">
        <is>
          <t>VÄSTRA GÖTALANDS LÄN</t>
        </is>
      </c>
      <c r="G262" t="inlineStr">
        <is>
          <t>SVENLJUNGA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46314</v>
      </c>
      <c r="F263" t="inlineStr">
        <is>
          <t>VÄSTRA GÖTALANDS LÄN</t>
        </is>
      </c>
      <c r="G263" t="inlineStr">
        <is>
          <t>SVENLJUNGA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55144-2025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45968</v>
      </c>
      <c r="E264" s="1" t="n">
        <v>46314</v>
      </c>
      <c r="F264" t="inlineStr">
        <is>
          <t>VÄSTRA GÖTALANDS LÄN</t>
        </is>
      </c>
      <c r="G264" t="inlineStr">
        <is>
          <t>SVENLJUNGA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46314</v>
      </c>
      <c r="F265" t="inlineStr">
        <is>
          <t>VÄSTRA GÖTALANDS LÄN</t>
        </is>
      </c>
      <c r="G265" t="inlineStr">
        <is>
          <t>SVENLJUNGA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46314</v>
      </c>
      <c r="F266" t="inlineStr">
        <is>
          <t>VÄSTRA GÖTALANDS LÄN</t>
        </is>
      </c>
      <c r="G266" t="inlineStr">
        <is>
          <t>SVENLJUNGA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44806</v>
      </c>
      <c r="E267" s="1" t="n">
        <v>46314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46314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46314</v>
      </c>
      <c r="F269" t="inlineStr">
        <is>
          <t>VÄSTRA GÖTALANDS LÄN</t>
        </is>
      </c>
      <c r="G269" t="inlineStr">
        <is>
          <t>SVENLJUNGA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46314</v>
      </c>
      <c r="F270" t="inlineStr">
        <is>
          <t>VÄSTRA GÖTALANDS LÄN</t>
        </is>
      </c>
      <c r="G270" t="inlineStr">
        <is>
          <t>SVENLJUNGA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46314</v>
      </c>
      <c r="F271" t="inlineStr">
        <is>
          <t>VÄSTRA GÖTALANDS LÄN</t>
        </is>
      </c>
      <c r="G271" t="inlineStr">
        <is>
          <t>SVENLJUNGA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46314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58341-2023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45250</v>
      </c>
      <c r="E273" s="1" t="n">
        <v>46314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46314</v>
      </c>
      <c r="F274" t="inlineStr">
        <is>
          <t>VÄSTRA GÖTALANDS LÄN</t>
        </is>
      </c>
      <c r="G274" t="inlineStr">
        <is>
          <t>SVENLJUNGA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46314</v>
      </c>
      <c r="F275" t="inlineStr">
        <is>
          <t>VÄSTRA GÖTALANDS LÄN</t>
        </is>
      </c>
      <c r="G275" t="inlineStr">
        <is>
          <t>SVENLJUNGA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44860</v>
      </c>
      <c r="E276" s="1" t="n">
        <v>46314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46314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19615-2024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45432</v>
      </c>
      <c r="E278" s="1" t="n">
        <v>46314</v>
      </c>
      <c r="F278" t="inlineStr">
        <is>
          <t>VÄSTRA GÖTALANDS LÄN</t>
        </is>
      </c>
      <c r="G278" t="inlineStr">
        <is>
          <t>SVENLJUNGA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46314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46314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46314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46314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46314</v>
      </c>
      <c r="F283" t="inlineStr">
        <is>
          <t>VÄSTRA GÖTALANDS LÄN</t>
        </is>
      </c>
      <c r="G283" t="inlineStr">
        <is>
          <t>SVENLJUNGA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46314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46314</v>
      </c>
      <c r="F285" t="inlineStr">
        <is>
          <t>VÄSTRA GÖTALANDS LÄN</t>
        </is>
      </c>
      <c r="G285" t="inlineStr">
        <is>
          <t>SVENLJUNGA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46314</v>
      </c>
      <c r="F286" t="inlineStr">
        <is>
          <t>VÄSTRA GÖTALANDS LÄN</t>
        </is>
      </c>
      <c r="G286" t="inlineStr">
        <is>
          <t>SVENLJUNGA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46314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46314</v>
      </c>
      <c r="F288" t="inlineStr">
        <is>
          <t>VÄSTRA GÖTALANDS LÄN</t>
        </is>
      </c>
      <c r="G288" t="inlineStr">
        <is>
          <t>SVENLJUNGA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46314</v>
      </c>
      <c r="F289" t="inlineStr">
        <is>
          <t>VÄSTRA GÖTALANDS LÄN</t>
        </is>
      </c>
      <c r="G289" t="inlineStr">
        <is>
          <t>SVENLJUNGA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46314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46314</v>
      </c>
      <c r="F291" t="inlineStr">
        <is>
          <t>VÄSTRA GÖTALANDS LÄN</t>
        </is>
      </c>
      <c r="G291" t="inlineStr">
        <is>
          <t>SVENLJUNGA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46314</v>
      </c>
      <c r="F292" t="inlineStr">
        <is>
          <t>VÄSTRA GÖTALANDS LÄN</t>
        </is>
      </c>
      <c r="G292" t="inlineStr">
        <is>
          <t>SVENLJUNGA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46314</v>
      </c>
      <c r="F293" t="inlineStr">
        <is>
          <t>VÄSTRA GÖTALANDS LÄN</t>
        </is>
      </c>
      <c r="G293" t="inlineStr">
        <is>
          <t>SVENLJUNGA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46314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45785</v>
      </c>
      <c r="E295" s="1" t="n">
        <v>46314</v>
      </c>
      <c r="F295" t="inlineStr">
        <is>
          <t>VÄSTRA GÖTALANDS LÄN</t>
        </is>
      </c>
      <c r="G295" t="inlineStr">
        <is>
          <t>SVENLJUNGA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46314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46314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46314</v>
      </c>
      <c r="F298" t="inlineStr">
        <is>
          <t>VÄSTRA GÖTALANDS LÄN</t>
        </is>
      </c>
      <c r="G298" t="inlineStr">
        <is>
          <t>SVENLJUNGA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46314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46314</v>
      </c>
      <c r="F300" t="inlineStr">
        <is>
          <t>VÄSTRA GÖTALANDS LÄN</t>
        </is>
      </c>
      <c r="G300" t="inlineStr">
        <is>
          <t>SVENLJUNGA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46314</v>
      </c>
      <c r="F301" t="inlineStr">
        <is>
          <t>VÄSTRA GÖTALANDS LÄN</t>
        </is>
      </c>
      <c r="G301" t="inlineStr">
        <is>
          <t>SVENLJUNGA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46314</v>
      </c>
      <c r="F302" t="inlineStr">
        <is>
          <t>VÄSTRA GÖTALANDS LÄN</t>
        </is>
      </c>
      <c r="G302" t="inlineStr">
        <is>
          <t>SVENLJUNGA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45709</v>
      </c>
      <c r="E303" s="1" t="n">
        <v>46314</v>
      </c>
      <c r="F303" t="inlineStr">
        <is>
          <t>VÄSTRA GÖTALANDS LÄN</t>
        </is>
      </c>
      <c r="G303" t="inlineStr">
        <is>
          <t>SVENLJUNGA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46314</v>
      </c>
      <c r="F304" t="inlineStr">
        <is>
          <t>VÄSTRA GÖTALANDS LÄN</t>
        </is>
      </c>
      <c r="G304" t="inlineStr">
        <is>
          <t>SVENLJUNGA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46314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46314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46314</v>
      </c>
      <c r="F307" t="inlineStr">
        <is>
          <t>VÄSTRA GÖTALANDS LÄN</t>
        </is>
      </c>
      <c r="G307" t="inlineStr">
        <is>
          <t>SVENLJUNGA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46314</v>
      </c>
      <c r="F308" t="inlineStr">
        <is>
          <t>VÄSTRA GÖTALANDS LÄN</t>
        </is>
      </c>
      <c r="G308" t="inlineStr">
        <is>
          <t>SVENLJUNGA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44603</v>
      </c>
      <c r="E309" s="1" t="n">
        <v>46314</v>
      </c>
      <c r="F309" t="inlineStr">
        <is>
          <t>VÄSTRA GÖTALANDS LÄN</t>
        </is>
      </c>
      <c r="G309" t="inlineStr">
        <is>
          <t>SVENLJUNGA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46314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46314</v>
      </c>
      <c r="F311" t="inlineStr">
        <is>
          <t>VÄSTRA GÖTALANDS LÄN</t>
        </is>
      </c>
      <c r="G311" t="inlineStr">
        <is>
          <t>SVENLJUNGA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46314</v>
      </c>
      <c r="F312" t="inlineStr">
        <is>
          <t>VÄSTRA GÖTALANDS LÄN</t>
        </is>
      </c>
      <c r="G312" t="inlineStr">
        <is>
          <t>SVENLJUNGA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46314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46314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46314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46314</v>
      </c>
      <c r="F316" t="inlineStr">
        <is>
          <t>VÄSTRA GÖTALANDS LÄN</t>
        </is>
      </c>
      <c r="G316" t="inlineStr">
        <is>
          <t>SVENLJUNGA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46314</v>
      </c>
      <c r="F317" t="inlineStr">
        <is>
          <t>VÄSTRA GÖTALANDS LÄN</t>
        </is>
      </c>
      <c r="G317" t="inlineStr">
        <is>
          <t>SVENLJUNGA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46314</v>
      </c>
      <c r="F318" t="inlineStr">
        <is>
          <t>VÄSTRA GÖTALANDS LÄN</t>
        </is>
      </c>
      <c r="G318" t="inlineStr">
        <is>
          <t>SVENLJUNGA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46314</v>
      </c>
      <c r="F319" t="inlineStr">
        <is>
          <t>VÄSTRA GÖTALANDS LÄN</t>
        </is>
      </c>
      <c r="G319" t="inlineStr">
        <is>
          <t>SVENLJUNGA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45358</v>
      </c>
      <c r="E320" s="1" t="n">
        <v>46314</v>
      </c>
      <c r="F320" t="inlineStr">
        <is>
          <t>VÄSTRA GÖTALANDS LÄN</t>
        </is>
      </c>
      <c r="G320" t="inlineStr">
        <is>
          <t>SVENLJUNGA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46314</v>
      </c>
      <c r="F321" t="inlineStr">
        <is>
          <t>VÄSTRA GÖTALANDS LÄN</t>
        </is>
      </c>
      <c r="G321" t="inlineStr">
        <is>
          <t>SVENLJUNGA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46314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46314</v>
      </c>
      <c r="F323" t="inlineStr">
        <is>
          <t>VÄSTRA GÖTALANDS LÄN</t>
        </is>
      </c>
      <c r="G323" t="inlineStr">
        <is>
          <t>SVENLJUNGA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46314</v>
      </c>
      <c r="F324" t="inlineStr">
        <is>
          <t>VÄSTRA GÖTALANDS LÄN</t>
        </is>
      </c>
      <c r="G324" t="inlineStr">
        <is>
          <t>SVENLJUNGA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46314</v>
      </c>
      <c r="F325" t="inlineStr">
        <is>
          <t>VÄSTRA GÖTALANDS LÄN</t>
        </is>
      </c>
      <c r="G325" t="inlineStr">
        <is>
          <t>SVENLJUNGA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45364</v>
      </c>
      <c r="E326" s="1" t="n">
        <v>46314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45000</v>
      </c>
      <c r="E327" s="1" t="n">
        <v>46314</v>
      </c>
      <c r="F327" t="inlineStr">
        <is>
          <t>VÄSTRA GÖTALANDS LÄN</t>
        </is>
      </c>
      <c r="G327" t="inlineStr">
        <is>
          <t>SVENLJUNGA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46314</v>
      </c>
      <c r="F328" t="inlineStr">
        <is>
          <t>VÄSTRA GÖTALANDS LÄN</t>
        </is>
      </c>
      <c r="G328" t="inlineStr">
        <is>
          <t>SVENLJUNGA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46314</v>
      </c>
      <c r="F329" t="inlineStr">
        <is>
          <t>VÄSTRA GÖTALANDS LÄN</t>
        </is>
      </c>
      <c r="G329" t="inlineStr">
        <is>
          <t>SVENLJUNGA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46314</v>
      </c>
      <c r="F330" t="inlineStr">
        <is>
          <t>VÄSTRA GÖTALANDS LÄN</t>
        </is>
      </c>
      <c r="G330" t="inlineStr">
        <is>
          <t>SVENLJUNGA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46936-2024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45585</v>
      </c>
      <c r="E331" s="1" t="n">
        <v>46314</v>
      </c>
      <c r="F331" t="inlineStr">
        <is>
          <t>VÄSTRA GÖTALANDS LÄN</t>
        </is>
      </c>
      <c r="G331" t="inlineStr">
        <is>
          <t>SVENLJUNGA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45526</v>
      </c>
      <c r="E332" s="1" t="n">
        <v>46314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Kommuner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46314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46314</v>
      </c>
      <c r="F334" t="inlineStr">
        <is>
          <t>VÄSTRA GÖTALANDS LÄN</t>
        </is>
      </c>
      <c r="G334" t="inlineStr">
        <is>
          <t>SVENLJUNGA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10359-2026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46076</v>
      </c>
      <c r="E335" s="1" t="n">
        <v>46314</v>
      </c>
      <c r="F335" t="inlineStr">
        <is>
          <t>VÄSTRA GÖTALANDS LÄN</t>
        </is>
      </c>
      <c r="G335" t="inlineStr">
        <is>
          <t>SVENLJUNGA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36493-2022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46314</v>
      </c>
      <c r="F336" t="inlineStr">
        <is>
          <t>VÄSTRA GÖTALANDS LÄN</t>
        </is>
      </c>
      <c r="G336" t="inlineStr">
        <is>
          <t>SVENLJUNGA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46314</v>
      </c>
      <c r="F337" t="inlineStr">
        <is>
          <t>VÄSTRA GÖTALANDS LÄN</t>
        </is>
      </c>
      <c r="G337" t="inlineStr">
        <is>
          <t>SVENLJUNGA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46314</v>
      </c>
      <c r="F338" t="inlineStr">
        <is>
          <t>VÄSTRA GÖTALANDS LÄN</t>
        </is>
      </c>
      <c r="G338" t="inlineStr">
        <is>
          <t>SVENLJUNGA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46314</v>
      </c>
      <c r="F339" t="inlineStr">
        <is>
          <t>VÄSTRA GÖTALANDS LÄN</t>
        </is>
      </c>
      <c r="G339" t="inlineStr">
        <is>
          <t>SVENLJUNGA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44806</v>
      </c>
      <c r="E340" s="1" t="n">
        <v>46314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45555</v>
      </c>
      <c r="E341" s="1" t="n">
        <v>46314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44749</v>
      </c>
      <c r="E342" s="1" t="n">
        <v>46314</v>
      </c>
      <c r="F342" t="inlineStr">
        <is>
          <t>VÄSTRA GÖTALANDS LÄN</t>
        </is>
      </c>
      <c r="G342" t="inlineStr">
        <is>
          <t>SVENLJUNGA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46314</v>
      </c>
      <c r="F343" t="inlineStr">
        <is>
          <t>VÄSTRA GÖTALANDS LÄN</t>
        </is>
      </c>
      <c r="G343" t="inlineStr">
        <is>
          <t>SVENLJUNGA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45485</v>
      </c>
      <c r="E344" s="1" t="n">
        <v>46314</v>
      </c>
      <c r="F344" t="inlineStr">
        <is>
          <t>VÄSTRA GÖTALANDS LÄN</t>
        </is>
      </c>
      <c r="G344" t="inlineStr">
        <is>
          <t>SVENLJUNGA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46314</v>
      </c>
      <c r="F345" t="inlineStr">
        <is>
          <t>VÄSTRA GÖTALANDS LÄN</t>
        </is>
      </c>
      <c r="G345" t="inlineStr">
        <is>
          <t>SVENLJUNGA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46314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45048</v>
      </c>
      <c r="E347" s="1" t="n">
        <v>46314</v>
      </c>
      <c r="F347" t="inlineStr">
        <is>
          <t>VÄSTRA GÖTALANDS LÄN</t>
        </is>
      </c>
      <c r="G347" t="inlineStr">
        <is>
          <t>SVENLJUNGA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46314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46314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46314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46314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46314</v>
      </c>
      <c r="F352" t="inlineStr">
        <is>
          <t>VÄSTRA GÖTALANDS LÄN</t>
        </is>
      </c>
      <c r="G352" t="inlineStr">
        <is>
          <t>SVENLJUNGA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45000</v>
      </c>
      <c r="E353" s="1" t="n">
        <v>46314</v>
      </c>
      <c r="F353" t="inlineStr">
        <is>
          <t>VÄSTRA GÖTALANDS LÄN</t>
        </is>
      </c>
      <c r="G353" t="inlineStr">
        <is>
          <t>SVENLJUNGA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45062</v>
      </c>
      <c r="E354" s="1" t="n">
        <v>46314</v>
      </c>
      <c r="F354" t="inlineStr">
        <is>
          <t>VÄSTRA GÖTALANDS LÄN</t>
        </is>
      </c>
      <c r="G354" t="inlineStr">
        <is>
          <t>SVENLJUNGA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46314</v>
      </c>
      <c r="F355" t="inlineStr">
        <is>
          <t>VÄSTRA GÖTALANDS LÄN</t>
        </is>
      </c>
      <c r="G355" t="inlineStr">
        <is>
          <t>SVENLJUNGA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44872</v>
      </c>
      <c r="E356" s="1" t="n">
        <v>46314</v>
      </c>
      <c r="F356" t="inlineStr">
        <is>
          <t>VÄSTRA GÖTALANDS LÄN</t>
        </is>
      </c>
      <c r="G356" t="inlineStr">
        <is>
          <t>SVENLJUNGA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46314</v>
      </c>
      <c r="F357" t="inlineStr">
        <is>
          <t>VÄSTRA GÖTALANDS LÄN</t>
        </is>
      </c>
      <c r="G357" t="inlineStr">
        <is>
          <t>SVENLJUNGA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45737</v>
      </c>
      <c r="E358" s="1" t="n">
        <v>46314</v>
      </c>
      <c r="F358" t="inlineStr">
        <is>
          <t>VÄSTRA GÖTALANDS LÄN</t>
        </is>
      </c>
      <c r="G358" t="inlineStr">
        <is>
          <t>SVENLJUNGA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44915</v>
      </c>
      <c r="E359" s="1" t="n">
        <v>46314</v>
      </c>
      <c r="F359" t="inlineStr">
        <is>
          <t>VÄSTRA GÖTALANDS LÄN</t>
        </is>
      </c>
      <c r="G359" t="inlineStr">
        <is>
          <t>SVENLJUNGA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45362</v>
      </c>
      <c r="E360" s="1" t="n">
        <v>46314</v>
      </c>
      <c r="F360" t="inlineStr">
        <is>
          <t>VÄSTRA GÖTALANDS LÄN</t>
        </is>
      </c>
      <c r="G360" t="inlineStr">
        <is>
          <t>SVENLJUNGA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46314</v>
      </c>
      <c r="F361" t="inlineStr">
        <is>
          <t>VÄSTRA GÖTALANDS LÄN</t>
        </is>
      </c>
      <c r="G361" t="inlineStr">
        <is>
          <t>SVENLJUNGA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45726</v>
      </c>
      <c r="E362" s="1" t="n">
        <v>46314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46314</v>
      </c>
      <c r="F363" t="inlineStr">
        <is>
          <t>VÄSTRA GÖTALANDS LÄN</t>
        </is>
      </c>
      <c r="G363" t="inlineStr">
        <is>
          <t>SVENLJUNGA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46314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46314</v>
      </c>
      <c r="F365" t="inlineStr">
        <is>
          <t>VÄSTRA GÖTALANDS LÄN</t>
        </is>
      </c>
      <c r="G365" t="inlineStr">
        <is>
          <t>SVENLJUNGA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46314</v>
      </c>
      <c r="F366" t="inlineStr">
        <is>
          <t>VÄSTRA GÖTALANDS LÄN</t>
        </is>
      </c>
      <c r="G366" t="inlineStr">
        <is>
          <t>SVENLJUNGA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46314</v>
      </c>
      <c r="F367" t="inlineStr">
        <is>
          <t>VÄSTRA GÖTALANDS LÄN</t>
        </is>
      </c>
      <c r="G367" t="inlineStr">
        <is>
          <t>SVENLJUNGA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46314</v>
      </c>
      <c r="F368" t="inlineStr">
        <is>
          <t>VÄSTRA GÖTALANDS LÄN</t>
        </is>
      </c>
      <c r="G368" t="inlineStr">
        <is>
          <t>SVENLJUNGA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45411</v>
      </c>
      <c r="E369" s="1" t="n">
        <v>46314</v>
      </c>
      <c r="F369" t="inlineStr">
        <is>
          <t>VÄSTRA GÖTALANDS LÄN</t>
        </is>
      </c>
      <c r="G369" t="inlineStr">
        <is>
          <t>SVENLJUNGA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46314</v>
      </c>
      <c r="F370" t="inlineStr">
        <is>
          <t>VÄSTRA GÖTALANDS LÄN</t>
        </is>
      </c>
      <c r="G370" t="inlineStr">
        <is>
          <t>SVENLJUNGA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45763</v>
      </c>
      <c r="E371" s="1" t="n">
        <v>46314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46314</v>
      </c>
      <c r="F372" t="inlineStr">
        <is>
          <t>VÄSTRA GÖTALANDS LÄN</t>
        </is>
      </c>
      <c r="G372" t="inlineStr">
        <is>
          <t>SVENLJUNGA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46314</v>
      </c>
      <c r="F373" t="inlineStr">
        <is>
          <t>VÄSTRA GÖTALANDS LÄN</t>
        </is>
      </c>
      <c r="G373" t="inlineStr">
        <is>
          <t>SVENLJUNGA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46314</v>
      </c>
      <c r="F374" t="inlineStr">
        <is>
          <t>VÄSTRA GÖTALANDS LÄN</t>
        </is>
      </c>
      <c r="G374" t="inlineStr">
        <is>
          <t>SVENLJUNGA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46314</v>
      </c>
      <c r="F375" t="inlineStr">
        <is>
          <t>VÄSTRA GÖTALANDS LÄN</t>
        </is>
      </c>
      <c r="G375" t="inlineStr">
        <is>
          <t>SVENLJUNGA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46314</v>
      </c>
      <c r="F376" t="inlineStr">
        <is>
          <t>VÄSTRA GÖTALANDS LÄN</t>
        </is>
      </c>
      <c r="G376" t="inlineStr">
        <is>
          <t>SVENLJUNGA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46314</v>
      </c>
      <c r="F377" t="inlineStr">
        <is>
          <t>VÄSTRA GÖTALANDS LÄN</t>
        </is>
      </c>
      <c r="G377" t="inlineStr">
        <is>
          <t>SVENLJUNGA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46314</v>
      </c>
      <c r="F378" t="inlineStr">
        <is>
          <t>VÄSTRA GÖTALANDS LÄN</t>
        </is>
      </c>
      <c r="G378" t="inlineStr">
        <is>
          <t>SVENLJUNGA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46314</v>
      </c>
      <c r="F379" t="inlineStr">
        <is>
          <t>VÄSTRA GÖTALANDS LÄN</t>
        </is>
      </c>
      <c r="G379" t="inlineStr">
        <is>
          <t>SVENLJUNGA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46314</v>
      </c>
      <c r="F380" t="inlineStr">
        <is>
          <t>VÄSTRA GÖTALANDS LÄN</t>
        </is>
      </c>
      <c r="G380" t="inlineStr">
        <is>
          <t>SVENLJUNGA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46314</v>
      </c>
      <c r="F381" t="inlineStr">
        <is>
          <t>VÄSTRA GÖTALANDS LÄN</t>
        </is>
      </c>
      <c r="G381" t="inlineStr">
        <is>
          <t>SVENLJUNGA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46314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46314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45069</v>
      </c>
      <c r="E384" s="1" t="n">
        <v>46314</v>
      </c>
      <c r="F384" t="inlineStr">
        <is>
          <t>VÄSTRA GÖTALANDS LÄN</t>
        </is>
      </c>
      <c r="G384" t="inlineStr">
        <is>
          <t>SVENLJUNGA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46314</v>
      </c>
      <c r="F385" t="inlineStr">
        <is>
          <t>VÄSTRA GÖTALANDS LÄN</t>
        </is>
      </c>
      <c r="G385" t="inlineStr">
        <is>
          <t>SVENLJUNGA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46314</v>
      </c>
      <c r="F386" t="inlineStr">
        <is>
          <t>VÄSTRA GÖTALANDS LÄN</t>
        </is>
      </c>
      <c r="G386" t="inlineStr">
        <is>
          <t>SVENLJUNGA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44615</v>
      </c>
      <c r="E387" s="1" t="n">
        <v>46314</v>
      </c>
      <c r="F387" t="inlineStr">
        <is>
          <t>VÄSTRA GÖTALANDS LÄN</t>
        </is>
      </c>
      <c r="G387" t="inlineStr">
        <is>
          <t>SVENLJUNGA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46314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55820-2025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45972</v>
      </c>
      <c r="E389" s="1" t="n">
        <v>46314</v>
      </c>
      <c r="F389" t="inlineStr">
        <is>
          <t>VÄSTRA GÖTALANDS LÄN</t>
        </is>
      </c>
      <c r="G389" t="inlineStr">
        <is>
          <t>SVENLJUNGA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46314</v>
      </c>
      <c r="F390" t="inlineStr">
        <is>
          <t>VÄSTRA GÖTALANDS LÄN</t>
        </is>
      </c>
      <c r="G390" t="inlineStr">
        <is>
          <t>SVENLJUNGA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46314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46314</v>
      </c>
      <c r="F392" t="inlineStr">
        <is>
          <t>VÄSTRA GÖTALANDS LÄN</t>
        </is>
      </c>
      <c r="G392" t="inlineStr">
        <is>
          <t>SVENLJUNGA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46314</v>
      </c>
      <c r="F393" t="inlineStr">
        <is>
          <t>VÄSTRA GÖTALANDS LÄN</t>
        </is>
      </c>
      <c r="G393" t="inlineStr">
        <is>
          <t>SVENLJUNGA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46314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45420</v>
      </c>
      <c r="E395" s="1" t="n">
        <v>46314</v>
      </c>
      <c r="F395" t="inlineStr">
        <is>
          <t>VÄSTRA GÖTALANDS LÄN</t>
        </is>
      </c>
      <c r="G395" t="inlineStr">
        <is>
          <t>SVENLJUNGA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46209</v>
      </c>
      <c r="E396" s="1" t="n">
        <v>46314</v>
      </c>
      <c r="F396" t="inlineStr">
        <is>
          <t>VÄSTRA GÖTALANDS LÄN</t>
        </is>
      </c>
      <c r="G396" t="inlineStr">
        <is>
          <t>SVENLJUNGA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30355-2026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46209</v>
      </c>
      <c r="E397" s="1" t="n">
        <v>46314</v>
      </c>
      <c r="F397" t="inlineStr">
        <is>
          <t>VÄSTRA GÖTALANDS LÄN</t>
        </is>
      </c>
      <c r="G397" t="inlineStr">
        <is>
          <t>SVENLJUNGA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46314</v>
      </c>
      <c r="F398" t="inlineStr">
        <is>
          <t>VÄSTRA GÖTALANDS LÄN</t>
        </is>
      </c>
      <c r="G398" t="inlineStr">
        <is>
          <t>SVENLJUNGA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46314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46314</v>
      </c>
      <c r="F400" t="inlineStr">
        <is>
          <t>VÄSTRA GÖTALANDS LÄN</t>
        </is>
      </c>
      <c r="G400" t="inlineStr">
        <is>
          <t>SVENLJUNGA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46314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18635-2023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45043</v>
      </c>
      <c r="E402" s="1" t="n">
        <v>46314</v>
      </c>
      <c r="F402" t="inlineStr">
        <is>
          <t>VÄSTRA GÖTALANDS LÄN</t>
        </is>
      </c>
      <c r="G402" t="inlineStr">
        <is>
          <t>SVENLJUNGA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45518</v>
      </c>
      <c r="E403" s="1" t="n">
        <v>46314</v>
      </c>
      <c r="F403" t="inlineStr">
        <is>
          <t>VÄSTRA GÖTALANDS LÄN</t>
        </is>
      </c>
      <c r="G403" t="inlineStr">
        <is>
          <t>SVENLJUNGA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46314</v>
      </c>
      <c r="F404" t="inlineStr">
        <is>
          <t>VÄSTRA GÖTALANDS LÄN</t>
        </is>
      </c>
      <c r="G404" t="inlineStr">
        <is>
          <t>SVENLJUNGA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46314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36980-2026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46273</v>
      </c>
      <c r="E406" s="1" t="n">
        <v>46314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46314</v>
      </c>
      <c r="F407" t="inlineStr">
        <is>
          <t>VÄSTRA GÖTALANDS LÄN</t>
        </is>
      </c>
      <c r="G407" t="inlineStr">
        <is>
          <t>SVENLJUNGA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46314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46314</v>
      </c>
      <c r="F409" t="inlineStr">
        <is>
          <t>VÄSTRA GÖTALANDS LÄN</t>
        </is>
      </c>
      <c r="G409" t="inlineStr">
        <is>
          <t>SVENLJUNGA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46314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46314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46314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46314</v>
      </c>
      <c r="F413" t="inlineStr">
        <is>
          <t>VÄSTRA GÖTALANDS LÄN</t>
        </is>
      </c>
      <c r="G413" t="inlineStr">
        <is>
          <t>SVENLJUNGA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46231</v>
      </c>
      <c r="E414" s="1" t="n">
        <v>46314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Kyrkan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43618-2022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44837</v>
      </c>
      <c r="E415" s="1" t="n">
        <v>46314</v>
      </c>
      <c r="F415" t="inlineStr">
        <is>
          <t>VÄSTRA GÖTALANDS LÄN</t>
        </is>
      </c>
      <c r="G415" t="inlineStr">
        <is>
          <t>SVENLJUNGA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46314</v>
      </c>
      <c r="F416" t="inlineStr">
        <is>
          <t>VÄSTRA GÖTALANDS LÄN</t>
        </is>
      </c>
      <c r="G416" t="inlineStr">
        <is>
          <t>SVENLJUNGA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46314</v>
      </c>
      <c r="F417" t="inlineStr">
        <is>
          <t>VÄSTRA GÖTALANDS LÄN</t>
        </is>
      </c>
      <c r="G417" t="inlineStr">
        <is>
          <t>SVENLJUNGA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45180</v>
      </c>
      <c r="E418" s="1" t="n">
        <v>46314</v>
      </c>
      <c r="F418" t="inlineStr">
        <is>
          <t>VÄSTRA GÖTALANDS LÄN</t>
        </is>
      </c>
      <c r="G418" t="inlineStr">
        <is>
          <t>SVENLJUNGA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46314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44574</v>
      </c>
      <c r="E420" s="1" t="n">
        <v>46314</v>
      </c>
      <c r="F420" t="inlineStr">
        <is>
          <t>VÄSTRA GÖTALANDS LÄN</t>
        </is>
      </c>
      <c r="G420" t="inlineStr">
        <is>
          <t>SVENLJUNGA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44964</v>
      </c>
      <c r="E421" s="1" t="n">
        <v>46314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39707-2023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46314</v>
      </c>
      <c r="F422" t="inlineStr">
        <is>
          <t>VÄSTRA GÖTALANDS LÄN</t>
        </is>
      </c>
      <c r="G422" t="inlineStr">
        <is>
          <t>SVENLJUNGA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46314</v>
      </c>
      <c r="F423" t="inlineStr">
        <is>
          <t>VÄSTRA GÖTALANDS LÄN</t>
        </is>
      </c>
      <c r="G423" t="inlineStr">
        <is>
          <t>SVENLJUNGA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16383-2023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45029</v>
      </c>
      <c r="E424" s="1" t="n">
        <v>46314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44981</v>
      </c>
      <c r="E425" s="1" t="n">
        <v>46314</v>
      </c>
      <c r="F425" t="inlineStr">
        <is>
          <t>VÄSTRA GÖTALANDS LÄN</t>
        </is>
      </c>
      <c r="G425" t="inlineStr">
        <is>
          <t>SVENLJUNGA</t>
        </is>
      </c>
      <c r="I425" t="n">
        <v>12.7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37852-2022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44811</v>
      </c>
      <c r="E426" s="1" t="n">
        <v>46314</v>
      </c>
      <c r="F426" t="inlineStr">
        <is>
          <t>VÄSTRA GÖTALANDS LÄN</t>
        </is>
      </c>
      <c r="G426" t="inlineStr">
        <is>
          <t>SVENLJUNGA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46314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11410-2024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45372</v>
      </c>
      <c r="E428" s="1" t="n">
        <v>46314</v>
      </c>
      <c r="F428" t="inlineStr">
        <is>
          <t>VÄSTRA GÖTALANDS LÄN</t>
        </is>
      </c>
      <c r="G428" t="inlineStr">
        <is>
          <t>SVENLJUNGA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46282</v>
      </c>
      <c r="E429" s="1" t="n">
        <v>46314</v>
      </c>
      <c r="F429" t="inlineStr">
        <is>
          <t>VÄSTRA GÖTALANDS LÄN</t>
        </is>
      </c>
      <c r="G429" t="inlineStr">
        <is>
          <t>SVENLJUNGA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23343-2024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45453</v>
      </c>
      <c r="E430" s="1" t="n">
        <v>46314</v>
      </c>
      <c r="F430" t="inlineStr">
        <is>
          <t>VÄSTRA GÖTALANDS LÄN</t>
        </is>
      </c>
      <c r="G430" t="inlineStr">
        <is>
          <t>SVENLJUNGA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46314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46314</v>
      </c>
      <c r="F432" t="inlineStr">
        <is>
          <t>VÄSTRA GÖTALANDS LÄN</t>
        </is>
      </c>
      <c r="G432" t="inlineStr">
        <is>
          <t>SVENLJUNGA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46314</v>
      </c>
      <c r="F433" t="inlineStr">
        <is>
          <t>VÄSTRA GÖTALANDS LÄN</t>
        </is>
      </c>
      <c r="G433" t="inlineStr">
        <is>
          <t>SVENLJUNGA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20975-2023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45056</v>
      </c>
      <c r="E434" s="1" t="n">
        <v>46314</v>
      </c>
      <c r="F434" t="inlineStr">
        <is>
          <t>VÄSTRA GÖTALANDS LÄN</t>
        </is>
      </c>
      <c r="G434" t="inlineStr">
        <is>
          <t>SVENLJUNGA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44958</v>
      </c>
      <c r="E435" s="1" t="n">
        <v>46314</v>
      </c>
      <c r="F435" t="inlineStr">
        <is>
          <t>VÄSTRA GÖTALANDS LÄN</t>
        </is>
      </c>
      <c r="G435" t="inlineStr">
        <is>
          <t>SVENLJUNGA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38743-2026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46314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46286</v>
      </c>
      <c r="E437" s="1" t="n">
        <v>46314</v>
      </c>
      <c r="F437" t="inlineStr">
        <is>
          <t>VÄSTRA GÖTALANDS LÄN</t>
        </is>
      </c>
      <c r="G437" t="inlineStr">
        <is>
          <t>SVENLJUNGA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46314</v>
      </c>
      <c r="F438" t="inlineStr">
        <is>
          <t>VÄSTRA GÖTALANDS LÄN</t>
        </is>
      </c>
      <c r="G438" t="inlineStr">
        <is>
          <t>SVENLJUNGA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46314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46314</v>
      </c>
      <c r="F440" t="inlineStr">
        <is>
          <t>VÄSTRA GÖTALANDS LÄN</t>
        </is>
      </c>
      <c r="G440" t="inlineStr">
        <is>
          <t>SVENLJUNGA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45391</v>
      </c>
      <c r="E441" s="1" t="n">
        <v>46314</v>
      </c>
      <c r="F441" t="inlineStr">
        <is>
          <t>VÄSTRA GÖTALANDS LÄN</t>
        </is>
      </c>
      <c r="G441" t="inlineStr">
        <is>
          <t>SVENLJUNGA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46314</v>
      </c>
      <c r="F442" t="inlineStr">
        <is>
          <t>VÄSTRA GÖTALANDS LÄN</t>
        </is>
      </c>
      <c r="G442" t="inlineStr">
        <is>
          <t>SVENLJUNGA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45474</v>
      </c>
      <c r="E443" s="1" t="n">
        <v>46314</v>
      </c>
      <c r="F443" t="inlineStr">
        <is>
          <t>VÄSTRA GÖTALANDS LÄN</t>
        </is>
      </c>
      <c r="G443" t="inlineStr">
        <is>
          <t>SVENLJUNGA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19869-2024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45433</v>
      </c>
      <c r="E444" s="1" t="n">
        <v>46314</v>
      </c>
      <c r="F444" t="inlineStr">
        <is>
          <t>VÄSTRA GÖTALANDS LÄN</t>
        </is>
      </c>
      <c r="G444" t="inlineStr">
        <is>
          <t>SVENLJUNGA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46314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46314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52375-2024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45609</v>
      </c>
      <c r="E447" s="1" t="n">
        <v>46314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44987</v>
      </c>
      <c r="E448" s="1" t="n">
        <v>46314</v>
      </c>
      <c r="F448" t="inlineStr">
        <is>
          <t>VÄSTRA GÖTALANDS LÄN</t>
        </is>
      </c>
      <c r="G448" t="inlineStr">
        <is>
          <t>SVENLJUNGA</t>
        </is>
      </c>
      <c r="I448" t="n">
        <v>9.9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10379-2025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45720</v>
      </c>
      <c r="E449" s="1" t="n">
        <v>46314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46314</v>
      </c>
      <c r="F450" t="inlineStr">
        <is>
          <t>VÄSTRA GÖTALANDS LÄN</t>
        </is>
      </c>
      <c r="G450" t="inlineStr">
        <is>
          <t>SVENLJUNGA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44855</v>
      </c>
      <c r="E451" s="1" t="n">
        <v>46314</v>
      </c>
      <c r="F451" t="inlineStr">
        <is>
          <t>VÄSTRA GÖTALANDS LÄN</t>
        </is>
      </c>
      <c r="G451" t="inlineStr">
        <is>
          <t>SVENLJUNGA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46314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Kyrkan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46314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46314</v>
      </c>
      <c r="F454" t="inlineStr">
        <is>
          <t>VÄSTRA GÖTALANDS LÄN</t>
        </is>
      </c>
      <c r="G454" t="inlineStr">
        <is>
          <t>SVENLJUNGA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32748-2024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45516</v>
      </c>
      <c r="E455" s="1" t="n">
        <v>46314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Kommuner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45082</v>
      </c>
      <c r="E456" s="1" t="n">
        <v>46314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Kommuner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45491</v>
      </c>
      <c r="E457" s="1" t="n">
        <v>46314</v>
      </c>
      <c r="F457" t="inlineStr">
        <is>
          <t>VÄSTRA GÖTALANDS LÄN</t>
        </is>
      </c>
      <c r="G457" t="inlineStr">
        <is>
          <t>SVENLJUNGA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44950</v>
      </c>
      <c r="E458" s="1" t="n">
        <v>46314</v>
      </c>
      <c r="F458" t="inlineStr">
        <is>
          <t>VÄSTRA GÖTALANDS LÄN</t>
        </is>
      </c>
      <c r="G458" t="inlineStr">
        <is>
          <t>SVENLJUNGA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46314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38744-2026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46314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46294</v>
      </c>
      <c r="E461" s="1" t="n">
        <v>46314</v>
      </c>
      <c r="F461" t="inlineStr">
        <is>
          <t>VÄSTRA GÖTALANDS LÄN</t>
        </is>
      </c>
      <c r="G461" t="inlineStr">
        <is>
          <t>SVENLJUNGA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45400</v>
      </c>
      <c r="E462" s="1" t="n">
        <v>46314</v>
      </c>
      <c r="F462" t="inlineStr">
        <is>
          <t>VÄSTRA GÖTALANDS LÄN</t>
        </is>
      </c>
      <c r="G462" t="inlineStr">
        <is>
          <t>SVENLJUNGA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44849</v>
      </c>
      <c r="E463" s="1" t="n">
        <v>46314</v>
      </c>
      <c r="F463" t="inlineStr">
        <is>
          <t>VÄSTRA GÖTALANDS LÄN</t>
        </is>
      </c>
      <c r="G463" t="inlineStr">
        <is>
          <t>SVENLJUNGA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46314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33119-2022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44785</v>
      </c>
      <c r="E465" s="1" t="n">
        <v>46314</v>
      </c>
      <c r="F465" t="inlineStr">
        <is>
          <t>VÄSTRA GÖTALANDS LÄN</t>
        </is>
      </c>
      <c r="G465" t="inlineStr">
        <is>
          <t>SVENLJUNGA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46314</v>
      </c>
      <c r="F466" t="inlineStr">
        <is>
          <t>VÄSTRA GÖTALANDS LÄN</t>
        </is>
      </c>
      <c r="G466" t="inlineStr">
        <is>
          <t>SVENLJUNGA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46314</v>
      </c>
      <c r="F467" t="inlineStr">
        <is>
          <t>VÄSTRA GÖTALANDS LÄN</t>
        </is>
      </c>
      <c r="G467" t="inlineStr">
        <is>
          <t>SVENLJUNGA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46314</v>
      </c>
      <c r="F468" t="inlineStr">
        <is>
          <t>VÄSTRA GÖTALANDS LÄN</t>
        </is>
      </c>
      <c r="G468" t="inlineStr">
        <is>
          <t>SVENLJUNGA</t>
        </is>
      </c>
      <c r="H468" t="inlineStr">
        <is>
          <t>Kommuner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46314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46253</v>
      </c>
      <c r="E470" s="1" t="n">
        <v>46314</v>
      </c>
      <c r="F470" t="inlineStr">
        <is>
          <t>VÄSTRA GÖTALANDS LÄN</t>
        </is>
      </c>
      <c r="G470" t="inlineStr">
        <is>
          <t>SVENLJUNGA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46314</v>
      </c>
      <c r="F471" t="inlineStr">
        <is>
          <t>VÄSTRA GÖTALANDS LÄN</t>
        </is>
      </c>
      <c r="G471" t="inlineStr">
        <is>
          <t>SVENLJUNGA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46297</v>
      </c>
      <c r="E472" s="1" t="n">
        <v>46314</v>
      </c>
      <c r="F472" t="inlineStr">
        <is>
          <t>VÄSTRA GÖTALANDS LÄN</t>
        </is>
      </c>
      <c r="G472" t="inlineStr">
        <is>
          <t>SVENLJUNGA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46314</v>
      </c>
      <c r="F473" t="inlineStr">
        <is>
          <t>VÄSTRA GÖTALANDS LÄN</t>
        </is>
      </c>
      <c r="G473" t="inlineStr">
        <is>
          <t>SVENLJUNGA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26487-2026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46314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Kyrkan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46314</v>
      </c>
      <c r="F475" t="inlineStr">
        <is>
          <t>VÄSTRA GÖTALANDS LÄN</t>
        </is>
      </c>
      <c r="G475" t="inlineStr">
        <is>
          <t>SVENLJUNGA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7607-2025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45705</v>
      </c>
      <c r="E476" s="1" t="n">
        <v>46314</v>
      </c>
      <c r="F476" t="inlineStr">
        <is>
          <t>VÄSTRA GÖTALANDS LÄN</t>
        </is>
      </c>
      <c r="G476" t="inlineStr">
        <is>
          <t>SVENLJUNGA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46301</v>
      </c>
      <c r="E477" s="1" t="n">
        <v>46314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41558-2026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46301</v>
      </c>
      <c r="E478" s="1" t="n">
        <v>46314</v>
      </c>
      <c r="F478" t="inlineStr">
        <is>
          <t>VÄSTRA GÖTALANDS LÄN</t>
        </is>
      </c>
      <c r="G478" t="inlineStr">
        <is>
          <t>SVENLJUNGA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46314</v>
      </c>
      <c r="F479" t="inlineStr">
        <is>
          <t>VÄSTRA GÖTALANDS LÄN</t>
        </is>
      </c>
      <c r="G479" t="inlineStr">
        <is>
          <t>SVENLJUNGA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45523</v>
      </c>
      <c r="E480" s="1" t="n">
        <v>46314</v>
      </c>
      <c r="F480" t="inlineStr">
        <is>
          <t>VÄSTRA GÖTALANDS LÄN</t>
        </is>
      </c>
      <c r="G480" t="inlineStr">
        <is>
          <t>SVENLJUNGA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46314</v>
      </c>
      <c r="F481" t="inlineStr">
        <is>
          <t>VÄSTRA GÖTALANDS LÄN</t>
        </is>
      </c>
      <c r="G481" t="inlineStr">
        <is>
          <t>SVENLJUNGA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46314</v>
      </c>
      <c r="F482" t="inlineStr">
        <is>
          <t>VÄSTRA GÖTALANDS LÄN</t>
        </is>
      </c>
      <c r="G482" t="inlineStr">
        <is>
          <t>SVENLJUNGA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45120</v>
      </c>
      <c r="E483" s="1" t="n">
        <v>46314</v>
      </c>
      <c r="F483" t="inlineStr">
        <is>
          <t>VÄSTRA GÖTALANDS LÄN</t>
        </is>
      </c>
      <c r="G483" t="inlineStr">
        <is>
          <t>SVENLJUNGA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46314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46314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46260</v>
      </c>
      <c r="E486" s="1" t="n">
        <v>46314</v>
      </c>
      <c r="F486" t="inlineStr">
        <is>
          <t>VÄSTRA GÖTALANDS LÄN</t>
        </is>
      </c>
      <c r="G486" t="inlineStr">
        <is>
          <t>SVENLJUNGA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46314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46314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46259</v>
      </c>
      <c r="E489" s="1" t="n">
        <v>46314</v>
      </c>
      <c r="F489" t="inlineStr">
        <is>
          <t>VÄSTRA GÖTALANDS LÄN</t>
        </is>
      </c>
      <c r="G489" t="inlineStr">
        <is>
          <t>SVENLJUNGA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46314</v>
      </c>
      <c r="F490" t="inlineStr">
        <is>
          <t>VÄSTRA GÖTALANDS LÄN</t>
        </is>
      </c>
      <c r="G490" t="inlineStr">
        <is>
          <t>SVENLJUNGA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46314</v>
      </c>
      <c r="F491" t="inlineStr">
        <is>
          <t>VÄSTRA GÖTALANDS LÄN</t>
        </is>
      </c>
      <c r="G491" t="inlineStr">
        <is>
          <t>SVENLJUNGA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45266</v>
      </c>
      <c r="E492" s="1" t="n">
        <v>46314</v>
      </c>
      <c r="F492" t="inlineStr">
        <is>
          <t>VÄSTRA GÖTALANDS LÄN</t>
        </is>
      </c>
      <c r="G492" t="inlineStr">
        <is>
          <t>SVENLJUNGA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46314</v>
      </c>
      <c r="F493" t="inlineStr">
        <is>
          <t>VÄSTRA GÖTALANDS LÄN</t>
        </is>
      </c>
      <c r="G493" t="inlineStr">
        <is>
          <t>SVENLJUNGA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41240-2024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46314</v>
      </c>
      <c r="F494" t="inlineStr">
        <is>
          <t>VÄSTRA GÖTALANDS LÄN</t>
        </is>
      </c>
      <c r="G494" t="inlineStr">
        <is>
          <t>SVENLJUNGA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46306</v>
      </c>
      <c r="E495" s="1" t="n">
        <v>46314</v>
      </c>
      <c r="F495" t="inlineStr">
        <is>
          <t>VÄSTRA GÖTALANDS LÄN</t>
        </is>
      </c>
      <c r="G495" t="inlineStr">
        <is>
          <t>SVENLJUNGA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46314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46314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46304</v>
      </c>
      <c r="E498" s="1" t="n">
        <v>46314</v>
      </c>
      <c r="F498" t="inlineStr">
        <is>
          <t>VÄSTRA GÖTALANDS LÄN</t>
        </is>
      </c>
      <c r="G498" t="inlineStr">
        <is>
          <t>SVENLJUNGA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46314</v>
      </c>
      <c r="F499" t="inlineStr">
        <is>
          <t>VÄSTRA GÖTALANDS LÄN</t>
        </is>
      </c>
      <c r="G499" t="inlineStr">
        <is>
          <t>SVENLJUNGA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46314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46314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45810</v>
      </c>
      <c r="E502" s="1" t="n">
        <v>46314</v>
      </c>
      <c r="F502" t="inlineStr">
        <is>
          <t>VÄSTRA GÖTALANDS LÄN</t>
        </is>
      </c>
      <c r="G502" t="inlineStr">
        <is>
          <t>SVENLJUNGA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46314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46269</v>
      </c>
      <c r="E504" s="1" t="n">
        <v>46314</v>
      </c>
      <c r="F504" t="inlineStr">
        <is>
          <t>VÄSTRA GÖTALANDS LÄN</t>
        </is>
      </c>
      <c r="G504" t="inlineStr">
        <is>
          <t>SVENLJUNGA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46314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45814</v>
      </c>
      <c r="E506" s="1" t="n">
        <v>46314</v>
      </c>
      <c r="F506" t="inlineStr">
        <is>
          <t>VÄSTRA GÖTALANDS LÄN</t>
        </is>
      </c>
      <c r="G506" t="inlineStr">
        <is>
          <t>SVENLJUNGA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46314</v>
      </c>
      <c r="F507" t="inlineStr">
        <is>
          <t>VÄSTRA GÖTALANDS LÄN</t>
        </is>
      </c>
      <c r="G507" t="inlineStr">
        <is>
          <t>SVENLJUNGA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46314</v>
      </c>
      <c r="F508" t="inlineStr">
        <is>
          <t>VÄSTRA GÖTALANDS LÄN</t>
        </is>
      </c>
      <c r="G508" t="inlineStr">
        <is>
          <t>SVENLJUNGA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46314</v>
      </c>
      <c r="F509" t="inlineStr">
        <is>
          <t>VÄSTRA GÖTALANDS LÄN</t>
        </is>
      </c>
      <c r="G509" t="inlineStr">
        <is>
          <t>SVENLJUNGA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45820</v>
      </c>
      <c r="E510" s="1" t="n">
        <v>46314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46314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46314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29619-2025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46314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46314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46314</v>
      </c>
      <c r="F515" t="inlineStr">
        <is>
          <t>VÄSTRA GÖTALANDS LÄN</t>
        </is>
      </c>
      <c r="G515" t="inlineStr">
        <is>
          <t>SVENLJUNGA</t>
        </is>
      </c>
      <c r="I515" t="n">
        <v>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45726</v>
      </c>
      <c r="E516" s="1" t="n">
        <v>46314</v>
      </c>
      <c r="F516" t="inlineStr">
        <is>
          <t>VÄSTRA GÖTALANDS LÄN</t>
        </is>
      </c>
      <c r="G516" t="inlineStr">
        <is>
          <t>SVENLJUNGA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46314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45737</v>
      </c>
      <c r="E518" s="1" t="n">
        <v>46314</v>
      </c>
      <c r="F518" t="inlineStr">
        <is>
          <t>VÄSTRA GÖTALANDS LÄN</t>
        </is>
      </c>
      <c r="G518" t="inlineStr">
        <is>
          <t>SVENLJUNGA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46314</v>
      </c>
      <c r="F519" t="inlineStr">
        <is>
          <t>VÄSTRA GÖTALANDS LÄN</t>
        </is>
      </c>
      <c r="G519" t="inlineStr">
        <is>
          <t>SVENLJUNGA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13547-2025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45736</v>
      </c>
      <c r="E520" s="1" t="n">
        <v>46314</v>
      </c>
      <c r="F520" t="inlineStr">
        <is>
          <t>VÄSTRA GÖTALANDS LÄN</t>
        </is>
      </c>
      <c r="G520" t="inlineStr">
        <is>
          <t>SVENLJUNGA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45827</v>
      </c>
      <c r="E521" s="1" t="n">
        <v>46314</v>
      </c>
      <c r="F521" t="inlineStr">
        <is>
          <t>VÄSTRA GÖTALANDS LÄN</t>
        </is>
      </c>
      <c r="G521" t="inlineStr">
        <is>
          <t>SVENLJUNGA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45726</v>
      </c>
      <c r="E522" s="1" t="n">
        <v>46314</v>
      </c>
      <c r="F522" t="inlineStr">
        <is>
          <t>VÄSTRA GÖTALANDS LÄN</t>
        </is>
      </c>
      <c r="G522" t="inlineStr">
        <is>
          <t>SVENLJUNGA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46314</v>
      </c>
      <c r="F523" t="inlineStr">
        <is>
          <t>VÄSTRA GÖTALANDS LÄN</t>
        </is>
      </c>
      <c r="G523" t="inlineStr">
        <is>
          <t>SVENLJUNGA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46314</v>
      </c>
      <c r="F524" t="inlineStr">
        <is>
          <t>VÄSTRA GÖTALANDS LÄN</t>
        </is>
      </c>
      <c r="G524" t="inlineStr">
        <is>
          <t>SVENLJUNGA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46314</v>
      </c>
      <c r="F525" t="inlineStr">
        <is>
          <t>VÄSTRA GÖTALANDS LÄN</t>
        </is>
      </c>
      <c r="G525" t="inlineStr">
        <is>
          <t>SVENLJUNGA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46314</v>
      </c>
      <c r="F526" t="inlineStr">
        <is>
          <t>VÄSTRA GÖTALANDS LÄN</t>
        </is>
      </c>
      <c r="G526" t="inlineStr">
        <is>
          <t>SVENLJUNGA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46314</v>
      </c>
      <c r="F527" t="inlineStr">
        <is>
          <t>VÄSTRA GÖTALANDS LÄN</t>
        </is>
      </c>
      <c r="G527" t="inlineStr">
        <is>
          <t>SVENLJUNGA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45785</v>
      </c>
      <c r="E528" s="1" t="n">
        <v>46314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46314</v>
      </c>
      <c r="F529" t="inlineStr">
        <is>
          <t>VÄSTRA GÖTALANDS LÄN</t>
        </is>
      </c>
      <c r="G529" t="inlineStr">
        <is>
          <t>SVENLJUNGA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45854</v>
      </c>
      <c r="E530" s="1" t="n">
        <v>46314</v>
      </c>
      <c r="F530" t="inlineStr">
        <is>
          <t>VÄSTRA GÖTALANDS LÄN</t>
        </is>
      </c>
      <c r="G530" t="inlineStr">
        <is>
          <t>SVENLJUNGA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53763-2024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45615</v>
      </c>
      <c r="E531" s="1" t="n">
        <v>46314</v>
      </c>
      <c r="F531" t="inlineStr">
        <is>
          <t>VÄSTRA GÖTALANDS LÄN</t>
        </is>
      </c>
      <c r="G531" t="inlineStr">
        <is>
          <t>SVENLJUNGA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45867</v>
      </c>
      <c r="E532" s="1" t="n">
        <v>46314</v>
      </c>
      <c r="F532" t="inlineStr">
        <is>
          <t>VÄSTRA GÖTALANDS LÄN</t>
        </is>
      </c>
      <c r="G532" t="inlineStr">
        <is>
          <t>SVENLJUNGA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45160</v>
      </c>
      <c r="E533" s="1" t="n">
        <v>46314</v>
      </c>
      <c r="F533" t="inlineStr">
        <is>
          <t>VÄSTRA GÖTALANDS LÄN</t>
        </is>
      </c>
      <c r="G533" t="inlineStr">
        <is>
          <t>SVENLJUNGA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45868</v>
      </c>
      <c r="E534" s="1" t="n">
        <v>46314</v>
      </c>
      <c r="F534" t="inlineStr">
        <is>
          <t>VÄSTRA GÖTALANDS LÄN</t>
        </is>
      </c>
      <c r="G534" t="inlineStr">
        <is>
          <t>SVENLJUNGA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46314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53767-2024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45615</v>
      </c>
      <c r="E536" s="1" t="n">
        <v>46314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45877</v>
      </c>
      <c r="E537" s="1" t="n">
        <v>46314</v>
      </c>
      <c r="F537" t="inlineStr">
        <is>
          <t>VÄSTRA GÖTALANDS LÄN</t>
        </is>
      </c>
      <c r="G537" t="inlineStr">
        <is>
          <t>SVENLJUNGA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45734</v>
      </c>
      <c r="E538" s="1" t="n">
        <v>46314</v>
      </c>
      <c r="F538" t="inlineStr">
        <is>
          <t>VÄSTRA GÖTALANDS LÄN</t>
        </is>
      </c>
      <c r="G538" t="inlineStr">
        <is>
          <t>SVENLJUNGA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46314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46314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46314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46314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1845-2022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46314</v>
      </c>
      <c r="F543" t="inlineStr">
        <is>
          <t>VÄSTRA GÖTALANDS LÄN</t>
        </is>
      </c>
      <c r="G543" t="inlineStr">
        <is>
          <t>SVENLJUNGA</t>
        </is>
      </c>
      <c r="I543" t="n">
        <v>25.5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46314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1861-2022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44658</v>
      </c>
      <c r="E545" s="1" t="n">
        <v>46314</v>
      </c>
      <c r="F545" t="inlineStr">
        <is>
          <t>VÄSTRA GÖTALANDS LÄN</t>
        </is>
      </c>
      <c r="G545" t="inlineStr">
        <is>
          <t>SVENLJUNGA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1359-2022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44630</v>
      </c>
      <c r="E546" s="1" t="n">
        <v>46314</v>
      </c>
      <c r="F546" t="inlineStr">
        <is>
          <t>VÄSTRA GÖTALANDS LÄN</t>
        </is>
      </c>
      <c r="G546" t="inlineStr">
        <is>
          <t>SVENLJUNGA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46314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46314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46314</v>
      </c>
      <c r="F549" t="inlineStr">
        <is>
          <t>VÄSTRA GÖTALANDS LÄN</t>
        </is>
      </c>
      <c r="G549" t="inlineStr">
        <is>
          <t>SVENLJUNGA</t>
        </is>
      </c>
      <c r="I549" t="n">
        <v>66.59999999999999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46314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46314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46314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46314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46314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46314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2793-2022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44706</v>
      </c>
      <c r="E556" s="1" t="n">
        <v>46314</v>
      </c>
      <c r="F556" t="inlineStr">
        <is>
          <t>VÄSTRA GÖTALANDS LÄN</t>
        </is>
      </c>
      <c r="G556" t="inlineStr">
        <is>
          <t>SVENLJUNGA</t>
        </is>
      </c>
      <c r="I556" t="n">
        <v>22.9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2944-2022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44712</v>
      </c>
      <c r="E557" s="1" t="n">
        <v>46314</v>
      </c>
      <c r="F557" t="inlineStr">
        <is>
          <t>VÄSTRA GÖTALANDS LÄN</t>
        </is>
      </c>
      <c r="G557" t="inlineStr">
        <is>
          <t>SVENLJUNGA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46314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46314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46314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2882-2022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46314</v>
      </c>
      <c r="F561" t="inlineStr">
        <is>
          <t>VÄSTRA GÖTALANDS LÄN</t>
        </is>
      </c>
      <c r="G561" t="inlineStr">
        <is>
          <t>SVENLJUNGA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10476-2021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46314</v>
      </c>
      <c r="F562" t="inlineStr">
        <is>
          <t>VÄSTRA GÖTALANDS LÄN</t>
        </is>
      </c>
      <c r="G562" t="inlineStr">
        <is>
          <t>SVENLJUNGA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1510-2024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46314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668-2023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44980</v>
      </c>
      <c r="E564" s="1" t="n">
        <v>46314</v>
      </c>
      <c r="F564" t="inlineStr">
        <is>
          <t>VÄSTRA GÖTALANDS LÄN</t>
        </is>
      </c>
      <c r="G564" t="inlineStr">
        <is>
          <t>SVENLJUNGA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830-2023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44990</v>
      </c>
      <c r="E565" s="1" t="n">
        <v>46314</v>
      </c>
      <c r="F565" t="inlineStr">
        <is>
          <t>VÄSTRA GÖTALANDS LÄN</t>
        </is>
      </c>
      <c r="G565" t="inlineStr">
        <is>
          <t>SVENLJUNGA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1844-2022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44658</v>
      </c>
      <c r="E566" s="1" t="n">
        <v>46314</v>
      </c>
      <c r="F566" t="inlineStr">
        <is>
          <t>VÄSTRA GÖTALANDS LÄN</t>
        </is>
      </c>
      <c r="G566" t="inlineStr">
        <is>
          <t>SVENLJUNGA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46314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46314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46314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10475-2021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44559</v>
      </c>
      <c r="E570" s="1" t="n">
        <v>46314</v>
      </c>
      <c r="F570" t="inlineStr">
        <is>
          <t>VÄSTRA GÖTALANDS LÄN</t>
        </is>
      </c>
      <c r="G570" t="inlineStr">
        <is>
          <t>SVENLJUNGA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46314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46314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46314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46314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46314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2898-2022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44711</v>
      </c>
      <c r="E576" s="1" t="n">
        <v>46314</v>
      </c>
      <c r="F576" t="inlineStr">
        <is>
          <t>VÄSTRA GÖTALANDS LÄN</t>
        </is>
      </c>
      <c r="G576" t="inlineStr">
        <is>
          <t>SVENLJUNGA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46314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46314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2035-2022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44671</v>
      </c>
      <c r="E579" s="1" t="n">
        <v>46314</v>
      </c>
      <c r="F579" t="inlineStr">
        <is>
          <t>VÄSTRA GÖTALANDS LÄN</t>
        </is>
      </c>
      <c r="G579" t="inlineStr">
        <is>
          <t>SVENLJUNGA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46314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46314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46314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46314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46314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46314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46314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46314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46314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46314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46314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46314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46314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46314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46314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46314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46314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46314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46314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46314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46314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46314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46314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46314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46314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2026-10-19T02:03:34Z</dcterms:created>
  <dcterms:modified xmlns:dcterms="http://purl.org/dc/terms/" xmlns:xsi="http://www.w3.org/2001/XMLSchema-instance" xsi:type="dcterms:W3CDTF">2026-10-19T02:03:35Z</dcterms:modified>
</cp:coreProperties>
</file>