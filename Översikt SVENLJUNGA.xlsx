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45828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45828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45828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45828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45828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45828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45828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45828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45828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45828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45828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62126-2020</t>
        </is>
      </c>
      <c r="B13" s="1" t="n">
        <v>44159</v>
      </c>
      <c r="C13" s="1" t="n">
        <v>45828</v>
      </c>
      <c r="D13" t="inlineStr">
        <is>
          <t>VÄSTRA GÖTALANDS LÄN</t>
        </is>
      </c>
      <c r="E13" t="inlineStr">
        <is>
          <t>SVENLJUNGA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HYPERLINK("https://klasma.github.io/Logging_1465/artfynd/A 62126-2020 artfynd.xlsx", "A 62126-2020")</f>
        <v/>
      </c>
      <c r="T13">
        <f>HYPERLINK("https://klasma.github.io/Logging_1465/kartor/A 62126-2020 karta.png", "A 62126-2020")</f>
        <v/>
      </c>
      <c r="V13">
        <f>HYPERLINK("https://klasma.github.io/Logging_1465/klagomål/A 62126-2020 FSC-klagomål.docx", "A 62126-2020")</f>
        <v/>
      </c>
      <c r="W13">
        <f>HYPERLINK("https://klasma.github.io/Logging_1465/klagomålsmail/A 62126-2020 FSC-klagomål mail.docx", "A 62126-2020")</f>
        <v/>
      </c>
      <c r="X13">
        <f>HYPERLINK("https://klasma.github.io/Logging_1465/tillsyn/A 62126-2020 tillsynsbegäran.docx", "A 62126-2020")</f>
        <v/>
      </c>
      <c r="Y13">
        <f>HYPERLINK("https://klasma.github.io/Logging_1465/tillsynsmail/A 62126-2020 tillsynsbegäran mail.docx", "A 62126-2020")</f>
        <v/>
      </c>
      <c r="Z13">
        <f>HYPERLINK("https://klasma.github.io/Logging_1465/fåglar/A 62126-2020 prioriterade fågelarter.docx", "A 62126-2020")</f>
        <v/>
      </c>
    </row>
    <row r="14" ht="15" customHeight="1">
      <c r="A14" t="inlineStr">
        <is>
          <t>A 8701-2022</t>
        </is>
      </c>
      <c r="B14" s="1" t="n">
        <v>44613</v>
      </c>
      <c r="C14" s="1" t="n">
        <v>45828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8701-2022 artfynd.xlsx", "A 8701-2022")</f>
        <v/>
      </c>
      <c r="T14">
        <f>HYPERLINK("https://klasma.github.io/Logging_1465/kartor/A 8701-2022 karta.png", "A 8701-2022")</f>
        <v/>
      </c>
      <c r="V14">
        <f>HYPERLINK("https://klasma.github.io/Logging_1465/klagomål/A 8701-2022 FSC-klagomål.docx", "A 8701-2022")</f>
        <v/>
      </c>
      <c r="W14">
        <f>HYPERLINK("https://klasma.github.io/Logging_1465/klagomålsmail/A 8701-2022 FSC-klagomål mail.docx", "A 8701-2022")</f>
        <v/>
      </c>
      <c r="X14">
        <f>HYPERLINK("https://klasma.github.io/Logging_1465/tillsyn/A 8701-2022 tillsynsbegäran.docx", "A 8701-2022")</f>
        <v/>
      </c>
      <c r="Y14">
        <f>HYPERLINK("https://klasma.github.io/Logging_1465/tillsynsmail/A 8701-2022 tillsynsbegäran mail.docx", "A 8701-2022")</f>
        <v/>
      </c>
    </row>
    <row r="15" ht="15" customHeight="1">
      <c r="A15" t="inlineStr">
        <is>
          <t>A 8697-2022</t>
        </is>
      </c>
      <c r="B15" s="1" t="n">
        <v>44613</v>
      </c>
      <c r="C15" s="1" t="n">
        <v>45828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8697-2022 artfynd.xlsx", "A 8697-2022")</f>
        <v/>
      </c>
      <c r="T15">
        <f>HYPERLINK("https://klasma.github.io/Logging_1465/kartor/A 8697-2022 karta.png", "A 8697-2022")</f>
        <v/>
      </c>
      <c r="V15">
        <f>HYPERLINK("https://klasma.github.io/Logging_1465/klagomål/A 8697-2022 FSC-klagomål.docx", "A 8697-2022")</f>
        <v/>
      </c>
      <c r="W15">
        <f>HYPERLINK("https://klasma.github.io/Logging_1465/klagomålsmail/A 8697-2022 FSC-klagomål mail.docx", "A 8697-2022")</f>
        <v/>
      </c>
      <c r="X15">
        <f>HYPERLINK("https://klasma.github.io/Logging_1465/tillsyn/A 8697-2022 tillsynsbegäran.docx", "A 8697-2022")</f>
        <v/>
      </c>
      <c r="Y15">
        <f>HYPERLINK("https://klasma.github.io/Logging_1465/tillsynsmail/A 8697-2022 tillsynsbegäran mail.docx", "A 8697-2022")</f>
        <v/>
      </c>
    </row>
    <row r="16" ht="15" customHeight="1">
      <c r="A16" t="inlineStr">
        <is>
          <t>A 30771-2022</t>
        </is>
      </c>
      <c r="B16" s="1" t="n">
        <v>44764</v>
      </c>
      <c r="C16" s="1" t="n">
        <v>45828</v>
      </c>
      <c r="D16" t="inlineStr">
        <is>
          <t>VÄSTRA GÖTALANDS LÄN</t>
        </is>
      </c>
      <c r="E16" t="inlineStr">
        <is>
          <t>SVENLJUNGA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HYPERLINK("https://klasma.github.io/Logging_1465/artfynd/A 30771-2022 artfynd.xlsx", "A 30771-2022")</f>
        <v/>
      </c>
      <c r="T16">
        <f>HYPERLINK("https://klasma.github.io/Logging_1465/kartor/A 30771-2022 karta.png", "A 30771-2022")</f>
        <v/>
      </c>
      <c r="V16">
        <f>HYPERLINK("https://klasma.github.io/Logging_1465/klagomål/A 30771-2022 FSC-klagomål.docx", "A 30771-2022")</f>
        <v/>
      </c>
      <c r="W16">
        <f>HYPERLINK("https://klasma.github.io/Logging_1465/klagomålsmail/A 30771-2022 FSC-klagomål mail.docx", "A 30771-2022")</f>
        <v/>
      </c>
      <c r="X16">
        <f>HYPERLINK("https://klasma.github.io/Logging_1465/tillsyn/A 30771-2022 tillsynsbegäran.docx", "A 30771-2022")</f>
        <v/>
      </c>
      <c r="Y16">
        <f>HYPERLINK("https://klasma.github.io/Logging_1465/tillsynsmail/A 30771-2022 tillsynsbegäran mail.docx", "A 30771-2022")</f>
        <v/>
      </c>
    </row>
    <row r="17" ht="15" customHeight="1">
      <c r="A17" t="inlineStr">
        <is>
          <t>A 4246-2024</t>
        </is>
      </c>
      <c r="B17" s="1" t="n">
        <v>45324</v>
      </c>
      <c r="C17" s="1" t="n">
        <v>45828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HYPERLINK("https://klasma.github.io/Logging_1465/artfynd/A 4246-2024 artfynd.xlsx", "A 4246-2024")</f>
        <v/>
      </c>
      <c r="T17">
        <f>HYPERLINK("https://klasma.github.io/Logging_1465/kartor/A 4246-2024 karta.png", "A 4246-2024")</f>
        <v/>
      </c>
      <c r="V17">
        <f>HYPERLINK("https://klasma.github.io/Logging_1465/klagomål/A 4246-2024 FSC-klagomål.docx", "A 4246-2024")</f>
        <v/>
      </c>
      <c r="W17">
        <f>HYPERLINK("https://klasma.github.io/Logging_1465/klagomålsmail/A 4246-2024 FSC-klagomål mail.docx", "A 4246-2024")</f>
        <v/>
      </c>
      <c r="X17">
        <f>HYPERLINK("https://klasma.github.io/Logging_1465/tillsyn/A 4246-2024 tillsynsbegäran.docx", "A 4246-2024")</f>
        <v/>
      </c>
      <c r="Y17">
        <f>HYPERLINK("https://klasma.github.io/Logging_1465/tillsynsmail/A 4246-2024 tillsynsbegäran mail.docx", "A 4246-2024")</f>
        <v/>
      </c>
    </row>
    <row r="18" ht="15" customHeight="1">
      <c r="A18" t="inlineStr">
        <is>
          <t>A 7185-2024</t>
        </is>
      </c>
      <c r="B18" s="1" t="n">
        <v>45344</v>
      </c>
      <c r="C18" s="1" t="n">
        <v>45828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HYPERLINK("https://klasma.github.io/Logging_1465/artfynd/A 7185-2024 artfynd.xlsx", "A 7185-2024")</f>
        <v/>
      </c>
      <c r="T18">
        <f>HYPERLINK("https://klasma.github.io/Logging_1465/kartor/A 7185-2024 karta.png", "A 7185-2024")</f>
        <v/>
      </c>
      <c r="V18">
        <f>HYPERLINK("https://klasma.github.io/Logging_1465/klagomål/A 7185-2024 FSC-klagomål.docx", "A 7185-2024")</f>
        <v/>
      </c>
      <c r="W18">
        <f>HYPERLINK("https://klasma.github.io/Logging_1465/klagomålsmail/A 7185-2024 FSC-klagomål mail.docx", "A 7185-2024")</f>
        <v/>
      </c>
      <c r="X18">
        <f>HYPERLINK("https://klasma.github.io/Logging_1465/tillsyn/A 7185-2024 tillsynsbegäran.docx", "A 7185-2024")</f>
        <v/>
      </c>
      <c r="Y18">
        <f>HYPERLINK("https://klasma.github.io/Logging_1465/tillsynsmail/A 7185-2024 tillsynsbegäran mail.docx", "A 7185-2024")</f>
        <v/>
      </c>
    </row>
    <row r="19" ht="15" customHeight="1">
      <c r="A19" t="inlineStr">
        <is>
          <t>A 9635-2024</t>
        </is>
      </c>
      <c r="B19" s="1" t="n">
        <v>45362</v>
      </c>
      <c r="C19" s="1" t="n">
        <v>45828</v>
      </c>
      <c r="D19" t="inlineStr">
        <is>
          <t>VÄSTRA GÖTALANDS LÄN</t>
        </is>
      </c>
      <c r="E19" t="inlineStr">
        <is>
          <t>SVENLJUNGA</t>
        </is>
      </c>
      <c r="G19" t="n">
        <v>8.9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Almlav</t>
        </is>
      </c>
      <c r="S19">
        <f>HYPERLINK("https://klasma.github.io/Logging_1465/artfynd/A 9635-2024 artfynd.xlsx", "A 9635-2024")</f>
        <v/>
      </c>
      <c r="T19">
        <f>HYPERLINK("https://klasma.github.io/Logging_1465/kartor/A 9635-2024 karta.png", "A 9635-2024")</f>
        <v/>
      </c>
      <c r="V19">
        <f>HYPERLINK("https://klasma.github.io/Logging_1465/klagomål/A 9635-2024 FSC-klagomål.docx", "A 9635-2024")</f>
        <v/>
      </c>
      <c r="W19">
        <f>HYPERLINK("https://klasma.github.io/Logging_1465/klagomålsmail/A 9635-2024 FSC-klagomål mail.docx", "A 9635-2024")</f>
        <v/>
      </c>
      <c r="X19">
        <f>HYPERLINK("https://klasma.github.io/Logging_1465/tillsyn/A 9635-2024 tillsynsbegäran.docx", "A 9635-2024")</f>
        <v/>
      </c>
      <c r="Y19">
        <f>HYPERLINK("https://klasma.github.io/Logging_1465/tillsynsmail/A 9635-2024 tillsynsbegäran mail.docx", "A 9635-2024")</f>
        <v/>
      </c>
    </row>
    <row r="20" ht="15" customHeight="1">
      <c r="A20" t="inlineStr">
        <is>
          <t>A 12025-2024</t>
        </is>
      </c>
      <c r="B20" s="1" t="n">
        <v>45377</v>
      </c>
      <c r="C20" s="1" t="n">
        <v>45828</v>
      </c>
      <c r="D20" t="inlineStr">
        <is>
          <t>VÄSTRA GÖTALANDS LÄN</t>
        </is>
      </c>
      <c r="E20" t="inlineStr">
        <is>
          <t>SVENLJUNGA</t>
        </is>
      </c>
      <c r="F20" t="inlineStr">
        <is>
          <t>Sveaskog</t>
        </is>
      </c>
      <c r="G20" t="n">
        <v>11.6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HYPERLINK("https://klasma.github.io/Logging_1465/artfynd/A 12025-2024 artfynd.xlsx", "A 12025-2024")</f>
        <v/>
      </c>
      <c r="T20">
        <f>HYPERLINK("https://klasma.github.io/Logging_1465/kartor/A 12025-2024 karta.png", "A 12025-2024")</f>
        <v/>
      </c>
      <c r="V20">
        <f>HYPERLINK("https://klasma.github.io/Logging_1465/klagomål/A 12025-2024 FSC-klagomål.docx", "A 12025-2024")</f>
        <v/>
      </c>
      <c r="W20">
        <f>HYPERLINK("https://klasma.github.io/Logging_1465/klagomålsmail/A 12025-2024 FSC-klagomål mail.docx", "A 12025-2024")</f>
        <v/>
      </c>
      <c r="X20">
        <f>HYPERLINK("https://klasma.github.io/Logging_1465/tillsyn/A 12025-2024 tillsynsbegäran.docx", "A 12025-2024")</f>
        <v/>
      </c>
      <c r="Y20">
        <f>HYPERLINK("https://klasma.github.io/Logging_1465/tillsynsmail/A 12025-2024 tillsynsbegäran mail.docx", "A 12025-2024")</f>
        <v/>
      </c>
      <c r="Z20">
        <f>HYPERLINK("https://klasma.github.io/Logging_1465/fåglar/A 12025-2024 prioriterade fågelarter.docx", "A 12025-2024")</f>
        <v/>
      </c>
    </row>
    <row r="21" ht="15" customHeight="1">
      <c r="A21" t="inlineStr">
        <is>
          <t>A 26712-2024</t>
        </is>
      </c>
      <c r="B21" s="1" t="n">
        <v>45470</v>
      </c>
      <c r="C21" s="1" t="n">
        <v>45828</v>
      </c>
      <c r="D21" t="inlineStr">
        <is>
          <t>VÄSTRA GÖTALANDS LÄN</t>
        </is>
      </c>
      <c r="E21" t="inlineStr">
        <is>
          <t>SVENLJUNGA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26712-2024 artfynd.xlsx", "A 26712-2024")</f>
        <v/>
      </c>
      <c r="T21">
        <f>HYPERLINK("https://klasma.github.io/Logging_1465/kartor/A 26712-2024 karta.png", "A 26712-2024")</f>
        <v/>
      </c>
      <c r="V21">
        <f>HYPERLINK("https://klasma.github.io/Logging_1465/klagomål/A 26712-2024 FSC-klagomål.docx", "A 26712-2024")</f>
        <v/>
      </c>
      <c r="W21">
        <f>HYPERLINK("https://klasma.github.io/Logging_1465/klagomålsmail/A 26712-2024 FSC-klagomål mail.docx", "A 26712-2024")</f>
        <v/>
      </c>
      <c r="X21">
        <f>HYPERLINK("https://klasma.github.io/Logging_1465/tillsyn/A 26712-2024 tillsynsbegäran.docx", "A 26712-2024")</f>
        <v/>
      </c>
      <c r="Y21">
        <f>HYPERLINK("https://klasma.github.io/Logging_1465/tillsynsmail/A 26712-2024 tillsynsbegäran mail.docx", "A 26712-2024")</f>
        <v/>
      </c>
    </row>
    <row r="22" ht="15" customHeight="1">
      <c r="A22" t="inlineStr">
        <is>
          <t>A 42900-2024</t>
        </is>
      </c>
      <c r="B22" s="1" t="n">
        <v>45566</v>
      </c>
      <c r="C22" s="1" t="n">
        <v>45828</v>
      </c>
      <c r="D22" t="inlineStr">
        <is>
          <t>VÄSTRA GÖTALANDS LÄN</t>
        </is>
      </c>
      <c r="E22" t="inlineStr">
        <is>
          <t>SVENLJUNGA</t>
        </is>
      </c>
      <c r="G22" t="n">
        <v>4.6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42900-2024 artfynd.xlsx", "A 42900-2024")</f>
        <v/>
      </c>
      <c r="T22">
        <f>HYPERLINK("https://klasma.github.io/Logging_1465/kartor/A 42900-2024 karta.png", "A 42900-2024")</f>
        <v/>
      </c>
      <c r="V22">
        <f>HYPERLINK("https://klasma.github.io/Logging_1465/klagomål/A 42900-2024 FSC-klagomål.docx", "A 42900-2024")</f>
        <v/>
      </c>
      <c r="W22">
        <f>HYPERLINK("https://klasma.github.io/Logging_1465/klagomålsmail/A 42900-2024 FSC-klagomål mail.docx", "A 42900-2024")</f>
        <v/>
      </c>
      <c r="X22">
        <f>HYPERLINK("https://klasma.github.io/Logging_1465/tillsyn/A 42900-2024 tillsynsbegäran.docx", "A 42900-2024")</f>
        <v/>
      </c>
      <c r="Y22">
        <f>HYPERLINK("https://klasma.github.io/Logging_1465/tillsynsmail/A 42900-2024 tillsynsbegäran mail.docx", "A 42900-2024")</f>
        <v/>
      </c>
    </row>
    <row r="23" ht="15" customHeight="1">
      <c r="A23" t="inlineStr">
        <is>
          <t>A 52369-2024</t>
        </is>
      </c>
      <c r="B23" s="1" t="n">
        <v>45609</v>
      </c>
      <c r="C23" s="1" t="n">
        <v>45828</v>
      </c>
      <c r="D23" t="inlineStr">
        <is>
          <t>VÄSTRA GÖTALANDS LÄN</t>
        </is>
      </c>
      <c r="E23" t="inlineStr">
        <is>
          <t>SVENLJUNGA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HYPERLINK("https://klasma.github.io/Logging_1465/artfynd/A 52369-2024 artfynd.xlsx", "A 52369-2024")</f>
        <v/>
      </c>
      <c r="T23">
        <f>HYPERLINK("https://klasma.github.io/Logging_1465/kartor/A 52369-2024 karta.png", "A 52369-2024")</f>
        <v/>
      </c>
      <c r="V23">
        <f>HYPERLINK("https://klasma.github.io/Logging_1465/klagomål/A 52369-2024 FSC-klagomål.docx", "A 52369-2024")</f>
        <v/>
      </c>
      <c r="W23">
        <f>HYPERLINK("https://klasma.github.io/Logging_1465/klagomålsmail/A 52369-2024 FSC-klagomål mail.docx", "A 52369-2024")</f>
        <v/>
      </c>
      <c r="X23">
        <f>HYPERLINK("https://klasma.github.io/Logging_1465/tillsyn/A 52369-2024 tillsynsbegäran.docx", "A 52369-2024")</f>
        <v/>
      </c>
      <c r="Y23">
        <f>HYPERLINK("https://klasma.github.io/Logging_1465/tillsynsmail/A 52369-2024 tillsynsbegäran mail.docx", "A 52369-2024")</f>
        <v/>
      </c>
    </row>
    <row r="24" ht="15" customHeight="1">
      <c r="A24" t="inlineStr">
        <is>
          <t>A 10944-2025</t>
        </is>
      </c>
      <c r="B24" s="1" t="n">
        <v>45723</v>
      </c>
      <c r="C24" s="1" t="n">
        <v>45828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Sveaskog</t>
        </is>
      </c>
      <c r="G24" t="n">
        <v>6.2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HYPERLINK("https://klasma.github.io/Logging_141465/artfynd/A 10944-2025 artfynd.xlsx", "A 10944-2025")</f>
        <v/>
      </c>
      <c r="T24">
        <f>HYPERLINK("https://klasma.github.io/Logging_141465/kartor/A 10944-2025 karta.png", "A 10944-2025")</f>
        <v/>
      </c>
      <c r="V24">
        <f>HYPERLINK("https://klasma.github.io/Logging_141465/klagomål/A 10944-2025 FSC-klagomål.docx", "A 10944-2025")</f>
        <v/>
      </c>
      <c r="W24">
        <f>HYPERLINK("https://klasma.github.io/Logging_141465/klagomålsmail/A 10944-2025 FSC-klagomål mail.docx", "A 10944-2025")</f>
        <v/>
      </c>
      <c r="X24">
        <f>HYPERLINK("https://klasma.github.io/Logging_141465/tillsyn/A 10944-2025 tillsynsbegäran.docx", "A 10944-2025")</f>
        <v/>
      </c>
      <c r="Y24">
        <f>HYPERLINK("https://klasma.github.io/Logging_141465/tillsynsmail/A 10944-2025 tillsynsbegäran mail.docx", "A 10944-2025")</f>
        <v/>
      </c>
    </row>
    <row r="25" ht="15" customHeight="1">
      <c r="A25" t="inlineStr">
        <is>
          <t>A 18154-2019</t>
        </is>
      </c>
      <c r="B25" s="1" t="n">
        <v>43558</v>
      </c>
      <c r="C25" s="1" t="n">
        <v>45828</v>
      </c>
      <c r="D25" t="inlineStr">
        <is>
          <t>VÄSTRA GÖTALANDS LÄN</t>
        </is>
      </c>
      <c r="E25" t="inlineStr">
        <is>
          <t>SVENLJUNGA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18568-2019</t>
        </is>
      </c>
      <c r="B26" s="1" t="n">
        <v>43559</v>
      </c>
      <c r="C26" s="1" t="n">
        <v>45828</v>
      </c>
      <c r="D26" t="inlineStr">
        <is>
          <t>VÄSTRA GÖTALANDS LÄN</t>
        </is>
      </c>
      <c r="E26" t="inlineStr">
        <is>
          <t>SVENLJUNGA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18567-2019</t>
        </is>
      </c>
      <c r="B27" s="1" t="n">
        <v>43559</v>
      </c>
      <c r="C27" s="1" t="n">
        <v>45828</v>
      </c>
      <c r="D27" t="inlineStr">
        <is>
          <t>VÄSTRA GÖTALANDS LÄN</t>
        </is>
      </c>
      <c r="E27" t="inlineStr">
        <is>
          <t>SVENLJUNGA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18622-2019</t>
        </is>
      </c>
      <c r="B28" s="1" t="n">
        <v>43560</v>
      </c>
      <c r="C28" s="1" t="n">
        <v>45828</v>
      </c>
      <c r="D28" t="inlineStr">
        <is>
          <t>VÄSTRA GÖTALANDS LÄN</t>
        </is>
      </c>
      <c r="E28" t="inlineStr">
        <is>
          <t>SVENLJUNGA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19345-2019</t>
        </is>
      </c>
      <c r="B29" s="1" t="n">
        <v>43565</v>
      </c>
      <c r="C29" s="1" t="n">
        <v>45828</v>
      </c>
      <c r="D29" t="inlineStr">
        <is>
          <t>VÄSTRA GÖTALANDS LÄN</t>
        </is>
      </c>
      <c r="E29" t="inlineStr">
        <is>
          <t>SVENLJUNGA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19346-2019</t>
        </is>
      </c>
      <c r="B30" s="1" t="n">
        <v>43565</v>
      </c>
      <c r="C30" s="1" t="n">
        <v>45828</v>
      </c>
      <c r="D30" t="inlineStr">
        <is>
          <t>VÄSTRA GÖTALANDS LÄN</t>
        </is>
      </c>
      <c r="E30" t="inlineStr">
        <is>
          <t>SVENLJUNGA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19366-2019</t>
        </is>
      </c>
      <c r="B31" s="1" t="n">
        <v>43565</v>
      </c>
      <c r="C31" s="1" t="n">
        <v>45828</v>
      </c>
      <c r="D31" t="inlineStr">
        <is>
          <t>VÄSTRA GÖTALANDS LÄN</t>
        </is>
      </c>
      <c r="E31" t="inlineStr">
        <is>
          <t>SVENLJUNGA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20613-2019</t>
        </is>
      </c>
      <c r="B32" s="1" t="n">
        <v>43572</v>
      </c>
      <c r="C32" s="1" t="n">
        <v>45828</v>
      </c>
      <c r="D32" t="inlineStr">
        <is>
          <t>VÄSTRA GÖTALANDS LÄN</t>
        </is>
      </c>
      <c r="E32" t="inlineStr">
        <is>
          <t>SVENLJUNGA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22110-2019</t>
        </is>
      </c>
      <c r="B33" s="1" t="n">
        <v>43585</v>
      </c>
      <c r="C33" s="1" t="n">
        <v>45828</v>
      </c>
      <c r="D33" t="inlineStr">
        <is>
          <t>VÄSTRA GÖTALANDS LÄN</t>
        </is>
      </c>
      <c r="E33" t="inlineStr">
        <is>
          <t>SVENLJUNGA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22715-2019</t>
        </is>
      </c>
      <c r="B34" s="1" t="n">
        <v>43588</v>
      </c>
      <c r="C34" s="1" t="n">
        <v>45828</v>
      </c>
      <c r="D34" t="inlineStr">
        <is>
          <t>VÄSTRA GÖTALANDS LÄN</t>
        </is>
      </c>
      <c r="E34" t="inlineStr">
        <is>
          <t>SVENLJUNGA</t>
        </is>
      </c>
      <c r="G34" t="n">
        <v>11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23054-2019</t>
        </is>
      </c>
      <c r="B35" s="1" t="n">
        <v>43591</v>
      </c>
      <c r="C35" s="1" t="n">
        <v>45828</v>
      </c>
      <c r="D35" t="inlineStr">
        <is>
          <t>VÄSTRA GÖTALANDS LÄN</t>
        </is>
      </c>
      <c r="E35" t="inlineStr">
        <is>
          <t>SVENLJUNGA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23115-2019</t>
        </is>
      </c>
      <c r="B36" s="1" t="n">
        <v>43592</v>
      </c>
      <c r="C36" s="1" t="n">
        <v>45828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24331-2019</t>
        </is>
      </c>
      <c r="B37" s="1" t="n">
        <v>43599</v>
      </c>
      <c r="C37" s="1" t="n">
        <v>45828</v>
      </c>
      <c r="D37" t="inlineStr">
        <is>
          <t>VÄSTRA GÖTALANDS LÄN</t>
        </is>
      </c>
      <c r="E37" t="inlineStr">
        <is>
          <t>SVENLJUNGA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24319-2019</t>
        </is>
      </c>
      <c r="B38" s="1" t="n">
        <v>43599</v>
      </c>
      <c r="C38" s="1" t="n">
        <v>45828</v>
      </c>
      <c r="D38" t="inlineStr">
        <is>
          <t>VÄSTRA GÖTALANDS LÄN</t>
        </is>
      </c>
      <c r="E38" t="inlineStr">
        <is>
          <t>SVENLJUNGA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24830-2019</t>
        </is>
      </c>
      <c r="B39" s="1" t="n">
        <v>43599</v>
      </c>
      <c r="C39" s="1" t="n">
        <v>45828</v>
      </c>
      <c r="D39" t="inlineStr">
        <is>
          <t>VÄSTRA GÖTALANDS LÄN</t>
        </is>
      </c>
      <c r="E39" t="inlineStr">
        <is>
          <t>SVENLJUNGA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24338-2019</t>
        </is>
      </c>
      <c r="B40" s="1" t="n">
        <v>43599</v>
      </c>
      <c r="C40" s="1" t="n">
        <v>45828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26228-2019</t>
        </is>
      </c>
      <c r="B41" s="1" t="n">
        <v>43609</v>
      </c>
      <c r="C41" s="1" t="n">
        <v>45828</v>
      </c>
      <c r="D41" t="inlineStr">
        <is>
          <t>VÄSTRA GÖTALANDS LÄN</t>
        </is>
      </c>
      <c r="E41" t="inlineStr">
        <is>
          <t>SVENLJUNGA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26975-2019</t>
        </is>
      </c>
      <c r="B42" s="1" t="n">
        <v>43609</v>
      </c>
      <c r="C42" s="1" t="n">
        <v>45828</v>
      </c>
      <c r="D42" t="inlineStr">
        <is>
          <t>VÄSTRA GÖTALANDS LÄN</t>
        </is>
      </c>
      <c r="E42" t="inlineStr">
        <is>
          <t>SVENLJUNGA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27826-2019</t>
        </is>
      </c>
      <c r="B43" s="1" t="n">
        <v>43620</v>
      </c>
      <c r="C43" s="1" t="n">
        <v>45828</v>
      </c>
      <c r="D43" t="inlineStr">
        <is>
          <t>VÄSTRA GÖTALANDS LÄN</t>
        </is>
      </c>
      <c r="E43" t="inlineStr">
        <is>
          <t>SVENLJUNGA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27825-2019</t>
        </is>
      </c>
      <c r="B44" s="1" t="n">
        <v>43620</v>
      </c>
      <c r="C44" s="1" t="n">
        <v>45828</v>
      </c>
      <c r="D44" t="inlineStr">
        <is>
          <t>VÄSTRA GÖTALANDS LÄN</t>
        </is>
      </c>
      <c r="E44" t="inlineStr">
        <is>
          <t>SVENLJUNGA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28478-2019</t>
        </is>
      </c>
      <c r="B45" s="1" t="n">
        <v>43626</v>
      </c>
      <c r="C45" s="1" t="n">
        <v>45828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28485-2019</t>
        </is>
      </c>
      <c r="B46" s="1" t="n">
        <v>43626</v>
      </c>
      <c r="C46" s="1" t="n">
        <v>45828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30245-2019</t>
        </is>
      </c>
      <c r="B47" s="1" t="n">
        <v>43634</v>
      </c>
      <c r="C47" s="1" t="n">
        <v>45828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32269-2019</t>
        </is>
      </c>
      <c r="B48" s="1" t="n">
        <v>43644</v>
      </c>
      <c r="C48" s="1" t="n">
        <v>45828</v>
      </c>
      <c r="D48" t="inlineStr">
        <is>
          <t>VÄSTRA GÖTALANDS LÄN</t>
        </is>
      </c>
      <c r="E48" t="inlineStr">
        <is>
          <t>SVENLJUNGA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32302-2019</t>
        </is>
      </c>
      <c r="B49" s="1" t="n">
        <v>43644</v>
      </c>
      <c r="C49" s="1" t="n">
        <v>45828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32290-2019</t>
        </is>
      </c>
      <c r="B50" s="1" t="n">
        <v>43644</v>
      </c>
      <c r="C50" s="1" t="n">
        <v>45828</v>
      </c>
      <c r="D50" t="inlineStr">
        <is>
          <t>VÄSTRA GÖTALANDS LÄN</t>
        </is>
      </c>
      <c r="E50" t="inlineStr">
        <is>
          <t>SVENLJUNGA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32279-2019</t>
        </is>
      </c>
      <c r="B51" s="1" t="n">
        <v>43644</v>
      </c>
      <c r="C51" s="1" t="n">
        <v>45828</v>
      </c>
      <c r="D51" t="inlineStr">
        <is>
          <t>VÄSTRA GÖTALANDS LÄN</t>
        </is>
      </c>
      <c r="E51" t="inlineStr">
        <is>
          <t>SVENLJUNGA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34414-2019</t>
        </is>
      </c>
      <c r="B52" s="1" t="n">
        <v>43647</v>
      </c>
      <c r="C52" s="1" t="n">
        <v>45828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34379-2019</t>
        </is>
      </c>
      <c r="B53" s="1" t="n">
        <v>43647</v>
      </c>
      <c r="C53" s="1" t="n">
        <v>45828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34759-2019</t>
        </is>
      </c>
      <c r="B54" s="1" t="n">
        <v>43658</v>
      </c>
      <c r="C54" s="1" t="n">
        <v>45828</v>
      </c>
      <c r="D54" t="inlineStr">
        <is>
          <t>VÄSTRA GÖTALANDS LÄN</t>
        </is>
      </c>
      <c r="E54" t="inlineStr">
        <is>
          <t>SVENLJUNGA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37059-2019</t>
        </is>
      </c>
      <c r="B55" s="1" t="n">
        <v>43676</v>
      </c>
      <c r="C55" s="1" t="n">
        <v>45828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37068-2019</t>
        </is>
      </c>
      <c r="B56" s="1" t="n">
        <v>43676</v>
      </c>
      <c r="C56" s="1" t="n">
        <v>45828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37061-2019</t>
        </is>
      </c>
      <c r="B57" s="1" t="n">
        <v>43676</v>
      </c>
      <c r="C57" s="1" t="n">
        <v>45828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37067-2019</t>
        </is>
      </c>
      <c r="B58" s="1" t="n">
        <v>43676</v>
      </c>
      <c r="C58" s="1" t="n">
        <v>45828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40885-2019</t>
        </is>
      </c>
      <c r="B59" s="1" t="n">
        <v>43697</v>
      </c>
      <c r="C59" s="1" t="n">
        <v>45828</v>
      </c>
      <c r="D59" t="inlineStr">
        <is>
          <t>VÄSTRA GÖTALANDS LÄN</t>
        </is>
      </c>
      <c r="E59" t="inlineStr">
        <is>
          <t>SVENLJUNGA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41549-2019</t>
        </is>
      </c>
      <c r="B60" s="1" t="n">
        <v>43699</v>
      </c>
      <c r="C60" s="1" t="n">
        <v>45828</v>
      </c>
      <c r="D60" t="inlineStr">
        <is>
          <t>VÄSTRA GÖTALANDS LÄN</t>
        </is>
      </c>
      <c r="E60" t="inlineStr">
        <is>
          <t>SVENLJUNGA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43032-2019</t>
        </is>
      </c>
      <c r="B61" s="1" t="n">
        <v>43705</v>
      </c>
      <c r="C61" s="1" t="n">
        <v>45828</v>
      </c>
      <c r="D61" t="inlineStr">
        <is>
          <t>VÄSTRA GÖTALANDS LÄN</t>
        </is>
      </c>
      <c r="E61" t="inlineStr">
        <is>
          <t>SVENLJUNGA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43431-2019</t>
        </is>
      </c>
      <c r="B62" s="1" t="n">
        <v>43706</v>
      </c>
      <c r="C62" s="1" t="n">
        <v>45828</v>
      </c>
      <c r="D62" t="inlineStr">
        <is>
          <t>VÄSTRA GÖTALANDS LÄN</t>
        </is>
      </c>
      <c r="E62" t="inlineStr">
        <is>
          <t>SVENLJUNGA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47309-2019</t>
        </is>
      </c>
      <c r="B63" s="1" t="n">
        <v>43721</v>
      </c>
      <c r="C63" s="1" t="n">
        <v>45828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48674-2019</t>
        </is>
      </c>
      <c r="B64" s="1" t="n">
        <v>43728</v>
      </c>
      <c r="C64" s="1" t="n">
        <v>45828</v>
      </c>
      <c r="D64" t="inlineStr">
        <is>
          <t>VÄSTRA GÖTALANDS LÄN</t>
        </is>
      </c>
      <c r="E64" t="inlineStr">
        <is>
          <t>SVENLJUNGA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48660-2019</t>
        </is>
      </c>
      <c r="B65" s="1" t="n">
        <v>43728</v>
      </c>
      <c r="C65" s="1" t="n">
        <v>45828</v>
      </c>
      <c r="D65" t="inlineStr">
        <is>
          <t>VÄSTRA GÖTALANDS LÄN</t>
        </is>
      </c>
      <c r="E65" t="inlineStr">
        <is>
          <t>SVENLJUNGA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49730-2019</t>
        </is>
      </c>
      <c r="B66" s="1" t="n">
        <v>43733</v>
      </c>
      <c r="C66" s="1" t="n">
        <v>45828</v>
      </c>
      <c r="D66" t="inlineStr">
        <is>
          <t>VÄSTRA GÖTALANDS LÄN</t>
        </is>
      </c>
      <c r="E66" t="inlineStr">
        <is>
          <t>SVENLJUNGA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52548-2019</t>
        </is>
      </c>
      <c r="B67" s="1" t="n">
        <v>43745</v>
      </c>
      <c r="C67" s="1" t="n">
        <v>45828</v>
      </c>
      <c r="D67" t="inlineStr">
        <is>
          <t>VÄSTRA GÖTALANDS LÄN</t>
        </is>
      </c>
      <c r="E67" t="inlineStr">
        <is>
          <t>SVENLJUNGA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55163-2019</t>
        </is>
      </c>
      <c r="B68" s="1" t="n">
        <v>43756</v>
      </c>
      <c r="C68" s="1" t="n">
        <v>45828</v>
      </c>
      <c r="D68" t="inlineStr">
        <is>
          <t>VÄSTRA GÖTALANDS LÄN</t>
        </is>
      </c>
      <c r="E68" t="inlineStr">
        <is>
          <t>SVENLJUNGA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55406-2019</t>
        </is>
      </c>
      <c r="B69" s="1" t="n">
        <v>43758</v>
      </c>
      <c r="C69" s="1" t="n">
        <v>45828</v>
      </c>
      <c r="D69" t="inlineStr">
        <is>
          <t>VÄSTRA GÖTALANDS LÄN</t>
        </is>
      </c>
      <c r="E69" t="inlineStr">
        <is>
          <t>SVENLJUNGA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55454-2019</t>
        </is>
      </c>
      <c r="B70" s="1" t="n">
        <v>43760</v>
      </c>
      <c r="C70" s="1" t="n">
        <v>45828</v>
      </c>
      <c r="D70" t="inlineStr">
        <is>
          <t>VÄSTRA GÖTALANDS LÄN</t>
        </is>
      </c>
      <c r="E70" t="inlineStr">
        <is>
          <t>SVENLJUNGA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55907-2019</t>
        </is>
      </c>
      <c r="B71" s="1" t="n">
        <v>43761</v>
      </c>
      <c r="C71" s="1" t="n">
        <v>45828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56219-2019</t>
        </is>
      </c>
      <c r="B72" s="1" t="n">
        <v>43762</v>
      </c>
      <c r="C72" s="1" t="n">
        <v>45828</v>
      </c>
      <c r="D72" t="inlineStr">
        <is>
          <t>VÄSTRA GÖTALANDS LÄN</t>
        </is>
      </c>
      <c r="E72" t="inlineStr">
        <is>
          <t>SVENLJUNGA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58200-2019</t>
        </is>
      </c>
      <c r="B73" s="1" t="n">
        <v>43770</v>
      </c>
      <c r="C73" s="1" t="n">
        <v>45828</v>
      </c>
      <c r="D73" t="inlineStr">
        <is>
          <t>VÄSTRA GÖTALANDS LÄN</t>
        </is>
      </c>
      <c r="E73" t="inlineStr">
        <is>
          <t>SVENLJUNGA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58385-2019</t>
        </is>
      </c>
      <c r="B74" s="1" t="n">
        <v>43771</v>
      </c>
      <c r="C74" s="1" t="n">
        <v>45828</v>
      </c>
      <c r="D74" t="inlineStr">
        <is>
          <t>VÄSTRA GÖTALANDS LÄN</t>
        </is>
      </c>
      <c r="E74" t="inlineStr">
        <is>
          <t>SVENLJUNGA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58469-2019</t>
        </is>
      </c>
      <c r="B75" s="1" t="n">
        <v>43773</v>
      </c>
      <c r="C75" s="1" t="n">
        <v>45828</v>
      </c>
      <c r="D75" t="inlineStr">
        <is>
          <t>VÄSTRA GÖTALANDS LÄN</t>
        </is>
      </c>
      <c r="E75" t="inlineStr">
        <is>
          <t>SVENLJUNGA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60272-2019</t>
        </is>
      </c>
      <c r="B76" s="1" t="n">
        <v>43780</v>
      </c>
      <c r="C76" s="1" t="n">
        <v>45828</v>
      </c>
      <c r="D76" t="inlineStr">
        <is>
          <t>VÄSTRA GÖTALANDS LÄN</t>
        </is>
      </c>
      <c r="E76" t="inlineStr">
        <is>
          <t>SVENLJUNGA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60271-2019</t>
        </is>
      </c>
      <c r="B77" s="1" t="n">
        <v>43780</v>
      </c>
      <c r="C77" s="1" t="n">
        <v>45828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60927-2019</t>
        </is>
      </c>
      <c r="B78" s="1" t="n">
        <v>43780</v>
      </c>
      <c r="C78" s="1" t="n">
        <v>45828</v>
      </c>
      <c r="D78" t="inlineStr">
        <is>
          <t>VÄSTRA GÖTALANDS LÄN</t>
        </is>
      </c>
      <c r="E78" t="inlineStr">
        <is>
          <t>SVENLJUNGA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60970-2019</t>
        </is>
      </c>
      <c r="B79" s="1" t="n">
        <v>43782</v>
      </c>
      <c r="C79" s="1" t="n">
        <v>45828</v>
      </c>
      <c r="D79" t="inlineStr">
        <is>
          <t>VÄSTRA GÖTALANDS LÄN</t>
        </is>
      </c>
      <c r="E79" t="inlineStr">
        <is>
          <t>SVENLJUNGA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61121-2019</t>
        </is>
      </c>
      <c r="B80" s="1" t="n">
        <v>43782</v>
      </c>
      <c r="C80" s="1" t="n">
        <v>45828</v>
      </c>
      <c r="D80" t="inlineStr">
        <is>
          <t>VÄSTRA GÖTALANDS LÄN</t>
        </is>
      </c>
      <c r="E80" t="inlineStr">
        <is>
          <t>SVENLJUNGA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62279-2019</t>
        </is>
      </c>
      <c r="B81" s="1" t="n">
        <v>43788</v>
      </c>
      <c r="C81" s="1" t="n">
        <v>45828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62280-2019</t>
        </is>
      </c>
      <c r="B82" s="1" t="n">
        <v>43788</v>
      </c>
      <c r="C82" s="1" t="n">
        <v>45828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62283-2019</t>
        </is>
      </c>
      <c r="B83" s="1" t="n">
        <v>43788</v>
      </c>
      <c r="C83" s="1" t="n">
        <v>45828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62891-2019</t>
        </is>
      </c>
      <c r="B84" s="1" t="n">
        <v>43790</v>
      </c>
      <c r="C84" s="1" t="n">
        <v>45828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63088-2019</t>
        </is>
      </c>
      <c r="B85" s="1" t="n">
        <v>43791</v>
      </c>
      <c r="C85" s="1" t="n">
        <v>45828</v>
      </c>
      <c r="D85" t="inlineStr">
        <is>
          <t>VÄSTRA GÖTALANDS LÄN</t>
        </is>
      </c>
      <c r="E85" t="inlineStr">
        <is>
          <t>SVENLJUNGA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63828-2019</t>
        </is>
      </c>
      <c r="B86" s="1" t="n">
        <v>43795</v>
      </c>
      <c r="C86" s="1" t="n">
        <v>45828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64652-2019</t>
        </is>
      </c>
      <c r="B87" s="1" t="n">
        <v>43798</v>
      </c>
      <c r="C87" s="1" t="n">
        <v>45828</v>
      </c>
      <c r="D87" t="inlineStr">
        <is>
          <t>VÄSTRA GÖTALANDS LÄN</t>
        </is>
      </c>
      <c r="E87" t="inlineStr">
        <is>
          <t>SVENLJUNGA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64663-2019</t>
        </is>
      </c>
      <c r="B88" s="1" t="n">
        <v>43798</v>
      </c>
      <c r="C88" s="1" t="n">
        <v>45828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64681-2019</t>
        </is>
      </c>
      <c r="B89" s="1" t="n">
        <v>43798</v>
      </c>
      <c r="C89" s="1" t="n">
        <v>45828</v>
      </c>
      <c r="D89" t="inlineStr">
        <is>
          <t>VÄSTRA GÖTALANDS LÄN</t>
        </is>
      </c>
      <c r="E89" t="inlineStr">
        <is>
          <t>SVENLJUNGA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65519-2019</t>
        </is>
      </c>
      <c r="B90" s="1" t="n">
        <v>43803</v>
      </c>
      <c r="C90" s="1" t="n">
        <v>45828</v>
      </c>
      <c r="D90" t="inlineStr">
        <is>
          <t>VÄSTRA GÖTALANDS LÄN</t>
        </is>
      </c>
      <c r="E90" t="inlineStr">
        <is>
          <t>SVENLJUNGA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65524-2019</t>
        </is>
      </c>
      <c r="B91" s="1" t="n">
        <v>43803</v>
      </c>
      <c r="C91" s="1" t="n">
        <v>45828</v>
      </c>
      <c r="D91" t="inlineStr">
        <is>
          <t>VÄSTRA GÖTALANDS LÄN</t>
        </is>
      </c>
      <c r="E91" t="inlineStr">
        <is>
          <t>SVENLJUNGA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65700-2019</t>
        </is>
      </c>
      <c r="B92" s="1" t="n">
        <v>43804</v>
      </c>
      <c r="C92" s="1" t="n">
        <v>45828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68100-2019</t>
        </is>
      </c>
      <c r="B93" s="1" t="n">
        <v>43817</v>
      </c>
      <c r="C93" s="1" t="n">
        <v>45828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68452-2019</t>
        </is>
      </c>
      <c r="B94" s="1" t="n">
        <v>43818</v>
      </c>
      <c r="C94" s="1" t="n">
        <v>45828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15-2020</t>
        </is>
      </c>
      <c r="B95" s="1" t="n">
        <v>43832</v>
      </c>
      <c r="C95" s="1" t="n">
        <v>45828</v>
      </c>
      <c r="D95" t="inlineStr">
        <is>
          <t>VÄSTRA GÖTALANDS LÄN</t>
        </is>
      </c>
      <c r="E95" t="inlineStr">
        <is>
          <t>SVENLJUNGA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3597-2020</t>
        </is>
      </c>
      <c r="B96" s="1" t="n">
        <v>43853</v>
      </c>
      <c r="C96" s="1" t="n">
        <v>45828</v>
      </c>
      <c r="D96" t="inlineStr">
        <is>
          <t>VÄSTRA GÖTALANDS LÄN</t>
        </is>
      </c>
      <c r="E96" t="inlineStr">
        <is>
          <t>SVENLJUNGA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6594-2020</t>
        </is>
      </c>
      <c r="B97" s="1" t="n">
        <v>43867</v>
      </c>
      <c r="C97" s="1" t="n">
        <v>45828</v>
      </c>
      <c r="D97" t="inlineStr">
        <is>
          <t>VÄSTRA GÖTALANDS LÄN</t>
        </is>
      </c>
      <c r="E97" t="inlineStr">
        <is>
          <t>SVENLJUNGA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6896-2020</t>
        </is>
      </c>
      <c r="B98" s="1" t="n">
        <v>43868</v>
      </c>
      <c r="C98" s="1" t="n">
        <v>45828</v>
      </c>
      <c r="D98" t="inlineStr">
        <is>
          <t>VÄSTRA GÖTALANDS LÄN</t>
        </is>
      </c>
      <c r="E98" t="inlineStr">
        <is>
          <t>SVENLJUNGA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6817-2020</t>
        </is>
      </c>
      <c r="B99" s="1" t="n">
        <v>43868</v>
      </c>
      <c r="C99" s="1" t="n">
        <v>45828</v>
      </c>
      <c r="D99" t="inlineStr">
        <is>
          <t>VÄSTRA GÖTALANDS LÄN</t>
        </is>
      </c>
      <c r="E99" t="inlineStr">
        <is>
          <t>SVENLJUNGA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6952-2020</t>
        </is>
      </c>
      <c r="B100" s="1" t="n">
        <v>43868</v>
      </c>
      <c r="C100" s="1" t="n">
        <v>45828</v>
      </c>
      <c r="D100" t="inlineStr">
        <is>
          <t>VÄSTRA GÖTALANDS LÄN</t>
        </is>
      </c>
      <c r="E100" t="inlineStr">
        <is>
          <t>SVENLJUNGA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7855-2020</t>
        </is>
      </c>
      <c r="B101" s="1" t="n">
        <v>43873</v>
      </c>
      <c r="C101" s="1" t="n">
        <v>45828</v>
      </c>
      <c r="D101" t="inlineStr">
        <is>
          <t>VÄSTRA GÖTALANDS LÄN</t>
        </is>
      </c>
      <c r="E101" t="inlineStr">
        <is>
          <t>SVENLJUNGA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10115-2020</t>
        </is>
      </c>
      <c r="B102" s="1" t="n">
        <v>43887</v>
      </c>
      <c r="C102" s="1" t="n">
        <v>45828</v>
      </c>
      <c r="D102" t="inlineStr">
        <is>
          <t>VÄSTRA GÖTALANDS LÄN</t>
        </is>
      </c>
      <c r="E102" t="inlineStr">
        <is>
          <t>SVENLJUNGA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11265-2020</t>
        </is>
      </c>
      <c r="B103" s="1" t="n">
        <v>43892</v>
      </c>
      <c r="C103" s="1" t="n">
        <v>45828</v>
      </c>
      <c r="D103" t="inlineStr">
        <is>
          <t>VÄSTRA GÖTALANDS LÄN</t>
        </is>
      </c>
      <c r="E103" t="inlineStr">
        <is>
          <t>SVENLJUNGA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11732-2020</t>
        </is>
      </c>
      <c r="B104" s="1" t="n">
        <v>43894</v>
      </c>
      <c r="C104" s="1" t="n">
        <v>45828</v>
      </c>
      <c r="D104" t="inlineStr">
        <is>
          <t>VÄSTRA GÖTALANDS LÄN</t>
        </is>
      </c>
      <c r="E104" t="inlineStr">
        <is>
          <t>SVENLJUNGA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13022-2020</t>
        </is>
      </c>
      <c r="B105" s="1" t="n">
        <v>43900</v>
      </c>
      <c r="C105" s="1" t="n">
        <v>45828</v>
      </c>
      <c r="D105" t="inlineStr">
        <is>
          <t>VÄSTRA GÖTALANDS LÄN</t>
        </is>
      </c>
      <c r="E105" t="inlineStr">
        <is>
          <t>SVENLJUNGA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13392-2020</t>
        </is>
      </c>
      <c r="B106" s="1" t="n">
        <v>43902</v>
      </c>
      <c r="C106" s="1" t="n">
        <v>45828</v>
      </c>
      <c r="D106" t="inlineStr">
        <is>
          <t>VÄSTRA GÖTALANDS LÄN</t>
        </is>
      </c>
      <c r="E106" t="inlineStr">
        <is>
          <t>SVENLJUNGA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13397-2020</t>
        </is>
      </c>
      <c r="B107" s="1" t="n">
        <v>43902</v>
      </c>
      <c r="C107" s="1" t="n">
        <v>45828</v>
      </c>
      <c r="D107" t="inlineStr">
        <is>
          <t>VÄSTRA GÖTALANDS LÄN</t>
        </is>
      </c>
      <c r="E107" t="inlineStr">
        <is>
          <t>SVENLJUNGA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15164-2020</t>
        </is>
      </c>
      <c r="B108" s="1" t="n">
        <v>43912</v>
      </c>
      <c r="C108" s="1" t="n">
        <v>45828</v>
      </c>
      <c r="D108" t="inlineStr">
        <is>
          <t>VÄSTRA GÖTALANDS LÄN</t>
        </is>
      </c>
      <c r="E108" t="inlineStr">
        <is>
          <t>SVENLJUNGA</t>
        </is>
      </c>
      <c r="G108" t="n">
        <v>16.4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15425-2020</t>
        </is>
      </c>
      <c r="B109" s="1" t="n">
        <v>43914</v>
      </c>
      <c r="C109" s="1" t="n">
        <v>45828</v>
      </c>
      <c r="D109" t="inlineStr">
        <is>
          <t>VÄSTRA GÖTALANDS LÄN</t>
        </is>
      </c>
      <c r="E109" t="inlineStr">
        <is>
          <t>SVENLJUNGA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15662-2020</t>
        </is>
      </c>
      <c r="B110" s="1" t="n">
        <v>43915</v>
      </c>
      <c r="C110" s="1" t="n">
        <v>45828</v>
      </c>
      <c r="D110" t="inlineStr">
        <is>
          <t>VÄSTRA GÖTALANDS LÄN</t>
        </is>
      </c>
      <c r="E110" t="inlineStr">
        <is>
          <t>SVENLJUNGA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15655-2020</t>
        </is>
      </c>
      <c r="B111" s="1" t="n">
        <v>43915</v>
      </c>
      <c r="C111" s="1" t="n">
        <v>45828</v>
      </c>
      <c r="D111" t="inlineStr">
        <is>
          <t>VÄSTRA GÖTALANDS LÄN</t>
        </is>
      </c>
      <c r="E111" t="inlineStr">
        <is>
          <t>SVENLJUNGA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15686-2020</t>
        </is>
      </c>
      <c r="B112" s="1" t="n">
        <v>43915</v>
      </c>
      <c r="C112" s="1" t="n">
        <v>45828</v>
      </c>
      <c r="D112" t="inlineStr">
        <is>
          <t>VÄSTRA GÖTALANDS LÄN</t>
        </is>
      </c>
      <c r="E112" t="inlineStr">
        <is>
          <t>SVENLJUNGA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16504-2020</t>
        </is>
      </c>
      <c r="B113" s="1" t="n">
        <v>43920</v>
      </c>
      <c r="C113" s="1" t="n">
        <v>45828</v>
      </c>
      <c r="D113" t="inlineStr">
        <is>
          <t>VÄSTRA GÖTALANDS LÄN</t>
        </is>
      </c>
      <c r="E113" t="inlineStr">
        <is>
          <t>SVENLJUNGA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17247-2020</t>
        </is>
      </c>
      <c r="B114" s="1" t="n">
        <v>43922</v>
      </c>
      <c r="C114" s="1" t="n">
        <v>45828</v>
      </c>
      <c r="D114" t="inlineStr">
        <is>
          <t>VÄSTRA GÖTALANDS LÄN</t>
        </is>
      </c>
      <c r="E114" t="inlineStr">
        <is>
          <t>SVENLJUNGA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17471-2020</t>
        </is>
      </c>
      <c r="B115" s="1" t="n">
        <v>43923</v>
      </c>
      <c r="C115" s="1" t="n">
        <v>45828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17675-2020</t>
        </is>
      </c>
      <c r="B116" s="1" t="n">
        <v>43923</v>
      </c>
      <c r="C116" s="1" t="n">
        <v>45828</v>
      </c>
      <c r="D116" t="inlineStr">
        <is>
          <t>VÄSTRA GÖTALANDS LÄN</t>
        </is>
      </c>
      <c r="E116" t="inlineStr">
        <is>
          <t>SVENLJUNGA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18801-2020</t>
        </is>
      </c>
      <c r="B117" s="1" t="n">
        <v>43933</v>
      </c>
      <c r="C117" s="1" t="n">
        <v>45828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19283-2020</t>
        </is>
      </c>
      <c r="B118" s="1" t="n">
        <v>43937</v>
      </c>
      <c r="C118" s="1" t="n">
        <v>45828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20675-2020</t>
        </is>
      </c>
      <c r="B119" s="1" t="n">
        <v>43949</v>
      </c>
      <c r="C119" s="1" t="n">
        <v>45828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21330-2020</t>
        </is>
      </c>
      <c r="B120" s="1" t="n">
        <v>43955</v>
      </c>
      <c r="C120" s="1" t="n">
        <v>45828</v>
      </c>
      <c r="D120" t="inlineStr">
        <is>
          <t>VÄSTRA GÖTALANDS LÄN</t>
        </is>
      </c>
      <c r="E120" t="inlineStr">
        <is>
          <t>SVENLJUNGA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22258-2020</t>
        </is>
      </c>
      <c r="B121" s="1" t="n">
        <v>43962</v>
      </c>
      <c r="C121" s="1" t="n">
        <v>45828</v>
      </c>
      <c r="D121" t="inlineStr">
        <is>
          <t>VÄSTRA GÖTALANDS LÄN</t>
        </is>
      </c>
      <c r="E121" t="inlineStr">
        <is>
          <t>SVENLJUNGA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22625-2020</t>
        </is>
      </c>
      <c r="B122" s="1" t="n">
        <v>43963</v>
      </c>
      <c r="C122" s="1" t="n">
        <v>45828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23112-2020</t>
        </is>
      </c>
      <c r="B123" s="1" t="n">
        <v>43965</v>
      </c>
      <c r="C123" s="1" t="n">
        <v>45828</v>
      </c>
      <c r="D123" t="inlineStr">
        <is>
          <t>VÄSTRA GÖTALANDS LÄN</t>
        </is>
      </c>
      <c r="E123" t="inlineStr">
        <is>
          <t>SVENLJUNGA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23879-2020</t>
        </is>
      </c>
      <c r="B124" s="1" t="n">
        <v>43971</v>
      </c>
      <c r="C124" s="1" t="n">
        <v>45828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25563-2020</t>
        </is>
      </c>
      <c r="B125" s="1" t="n">
        <v>43983</v>
      </c>
      <c r="C125" s="1" t="n">
        <v>45828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26347-2020</t>
        </is>
      </c>
      <c r="B126" s="1" t="n">
        <v>43986</v>
      </c>
      <c r="C126" s="1" t="n">
        <v>45828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26333-2020</t>
        </is>
      </c>
      <c r="B127" s="1" t="n">
        <v>43986</v>
      </c>
      <c r="C127" s="1" t="n">
        <v>45828</v>
      </c>
      <c r="D127" t="inlineStr">
        <is>
          <t>VÄSTRA GÖTALANDS LÄN</t>
        </is>
      </c>
      <c r="E127" t="inlineStr">
        <is>
          <t>SVENLJUNGA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27116-2020</t>
        </is>
      </c>
      <c r="B128" s="1" t="n">
        <v>43991</v>
      </c>
      <c r="C128" s="1" t="n">
        <v>45828</v>
      </c>
      <c r="D128" t="inlineStr">
        <is>
          <t>VÄSTRA GÖTALANDS LÄN</t>
        </is>
      </c>
      <c r="E128" t="inlineStr">
        <is>
          <t>SVENLJUNGA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30612-2020</t>
        </is>
      </c>
      <c r="B129" s="1" t="n">
        <v>44008</v>
      </c>
      <c r="C129" s="1" t="n">
        <v>45828</v>
      </c>
      <c r="D129" t="inlineStr">
        <is>
          <t>VÄSTRA GÖTALANDS LÄN</t>
        </is>
      </c>
      <c r="E129" t="inlineStr">
        <is>
          <t>SVENLJUNGA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32062-2020</t>
        </is>
      </c>
      <c r="B130" s="1" t="n">
        <v>44015</v>
      </c>
      <c r="C130" s="1" t="n">
        <v>45828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32576-2020</t>
        </is>
      </c>
      <c r="B131" s="1" t="n">
        <v>44018</v>
      </c>
      <c r="C131" s="1" t="n">
        <v>45828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34843-2020</t>
        </is>
      </c>
      <c r="B132" s="1" t="n">
        <v>44036</v>
      </c>
      <c r="C132" s="1" t="n">
        <v>45828</v>
      </c>
      <c r="D132" t="inlineStr">
        <is>
          <t>VÄSTRA GÖTALANDS LÄN</t>
        </is>
      </c>
      <c r="E132" t="inlineStr">
        <is>
          <t>SVENLJUNGA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34841-2020</t>
        </is>
      </c>
      <c r="B133" s="1" t="n">
        <v>44036</v>
      </c>
      <c r="C133" s="1" t="n">
        <v>45828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36470-2020</t>
        </is>
      </c>
      <c r="B134" s="1" t="n">
        <v>44050</v>
      </c>
      <c r="C134" s="1" t="n">
        <v>45828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36804-2020</t>
        </is>
      </c>
      <c r="B135" s="1" t="n">
        <v>44053</v>
      </c>
      <c r="C135" s="1" t="n">
        <v>45828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37628-2020</t>
        </is>
      </c>
      <c r="B136" s="1" t="n">
        <v>44056</v>
      </c>
      <c r="C136" s="1" t="n">
        <v>45828</v>
      </c>
      <c r="D136" t="inlineStr">
        <is>
          <t>VÄSTRA GÖTALANDS LÄN</t>
        </is>
      </c>
      <c r="E136" t="inlineStr">
        <is>
          <t>SVENLJUNGA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38624-2020</t>
        </is>
      </c>
      <c r="B137" s="1" t="n">
        <v>44061</v>
      </c>
      <c r="C137" s="1" t="n">
        <v>45828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39222-2020</t>
        </is>
      </c>
      <c r="B138" s="1" t="n">
        <v>44063</v>
      </c>
      <c r="C138" s="1" t="n">
        <v>45828</v>
      </c>
      <c r="D138" t="inlineStr">
        <is>
          <t>VÄSTRA GÖTALANDS LÄN</t>
        </is>
      </c>
      <c r="E138" t="inlineStr">
        <is>
          <t>SVENLJUNGA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39219-2020</t>
        </is>
      </c>
      <c r="B139" s="1" t="n">
        <v>44063</v>
      </c>
      <c r="C139" s="1" t="n">
        <v>45828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40293-2020</t>
        </is>
      </c>
      <c r="B140" s="1" t="n">
        <v>44068</v>
      </c>
      <c r="C140" s="1" t="n">
        <v>45828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40423-2020</t>
        </is>
      </c>
      <c r="B141" s="1" t="n">
        <v>44069</v>
      </c>
      <c r="C141" s="1" t="n">
        <v>45828</v>
      </c>
      <c r="D141" t="inlineStr">
        <is>
          <t>VÄSTRA GÖTALANDS LÄN</t>
        </is>
      </c>
      <c r="E141" t="inlineStr">
        <is>
          <t>SVENLJUNGA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42370-2020</t>
        </is>
      </c>
      <c r="B142" s="1" t="n">
        <v>44076</v>
      </c>
      <c r="C142" s="1" t="n">
        <v>45828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43698-2020</t>
        </is>
      </c>
      <c r="B143" s="1" t="n">
        <v>44082</v>
      </c>
      <c r="C143" s="1" t="n">
        <v>45828</v>
      </c>
      <c r="D143" t="inlineStr">
        <is>
          <t>VÄSTRA GÖTALANDS LÄN</t>
        </is>
      </c>
      <c r="E143" t="inlineStr">
        <is>
          <t>SVENLJUNGA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44844-2020</t>
        </is>
      </c>
      <c r="B144" s="1" t="n">
        <v>44086</v>
      </c>
      <c r="C144" s="1" t="n">
        <v>45828</v>
      </c>
      <c r="D144" t="inlineStr">
        <is>
          <t>VÄSTRA GÖTALANDS LÄN</t>
        </is>
      </c>
      <c r="E144" t="inlineStr">
        <is>
          <t>SVENLJUNGA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44842-2020</t>
        </is>
      </c>
      <c r="B145" s="1" t="n">
        <v>44086</v>
      </c>
      <c r="C145" s="1" t="n">
        <v>45828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45372-2020</t>
        </is>
      </c>
      <c r="B146" s="1" t="n">
        <v>44089</v>
      </c>
      <c r="C146" s="1" t="n">
        <v>45828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50122-2020</t>
        </is>
      </c>
      <c r="B147" s="1" t="n">
        <v>44109</v>
      </c>
      <c r="C147" s="1" t="n">
        <v>45828</v>
      </c>
      <c r="D147" t="inlineStr">
        <is>
          <t>VÄSTRA GÖTALANDS LÄN</t>
        </is>
      </c>
      <c r="E147" t="inlineStr">
        <is>
          <t>SVENLJUNGA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50149-2020</t>
        </is>
      </c>
      <c r="B148" s="1" t="n">
        <v>44109</v>
      </c>
      <c r="C148" s="1" t="n">
        <v>45828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51786-2020</t>
        </is>
      </c>
      <c r="B149" s="1" t="n">
        <v>44116</v>
      </c>
      <c r="C149" s="1" t="n">
        <v>45828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52196-2020</t>
        </is>
      </c>
      <c r="B150" s="1" t="n">
        <v>44117</v>
      </c>
      <c r="C150" s="1" t="n">
        <v>45828</v>
      </c>
      <c r="D150" t="inlineStr">
        <is>
          <t>VÄSTRA GÖTALANDS LÄN</t>
        </is>
      </c>
      <c r="E150" t="inlineStr">
        <is>
          <t>SVENLJUNGA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54610-2020</t>
        </is>
      </c>
      <c r="B151" s="1" t="n">
        <v>44127</v>
      </c>
      <c r="C151" s="1" t="n">
        <v>45828</v>
      </c>
      <c r="D151" t="inlineStr">
        <is>
          <t>VÄSTRA GÖTALANDS LÄN</t>
        </is>
      </c>
      <c r="E151" t="inlineStr">
        <is>
          <t>SVENLJUNGA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54949-2020</t>
        </is>
      </c>
      <c r="B152" s="1" t="n">
        <v>44129</v>
      </c>
      <c r="C152" s="1" t="n">
        <v>45828</v>
      </c>
      <c r="D152" t="inlineStr">
        <is>
          <t>VÄSTRA GÖTALANDS LÄN</t>
        </is>
      </c>
      <c r="E152" t="inlineStr">
        <is>
          <t>SVENLJUNGA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55286-2020</t>
        </is>
      </c>
      <c r="B153" s="1" t="n">
        <v>44130</v>
      </c>
      <c r="C153" s="1" t="n">
        <v>45828</v>
      </c>
      <c r="D153" t="inlineStr">
        <is>
          <t>VÄSTRA GÖTALANDS LÄN</t>
        </is>
      </c>
      <c r="E153" t="inlineStr">
        <is>
          <t>SVENLJUNGA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55296-2020</t>
        </is>
      </c>
      <c r="B154" s="1" t="n">
        <v>44130</v>
      </c>
      <c r="C154" s="1" t="n">
        <v>45828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55295-2020</t>
        </is>
      </c>
      <c r="B155" s="1" t="n">
        <v>44130</v>
      </c>
      <c r="C155" s="1" t="n">
        <v>45828</v>
      </c>
      <c r="D155" t="inlineStr">
        <is>
          <t>VÄSTRA GÖTALANDS LÄN</t>
        </is>
      </c>
      <c r="E155" t="inlineStr">
        <is>
          <t>SVENLJUNGA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55841-2020</t>
        </is>
      </c>
      <c r="B156" s="1" t="n">
        <v>44132</v>
      </c>
      <c r="C156" s="1" t="n">
        <v>45828</v>
      </c>
      <c r="D156" t="inlineStr">
        <is>
          <t>VÄSTRA GÖTALANDS LÄN</t>
        </is>
      </c>
      <c r="E156" t="inlineStr">
        <is>
          <t>SVENLJUNGA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55992-2020</t>
        </is>
      </c>
      <c r="B157" s="1" t="n">
        <v>44133</v>
      </c>
      <c r="C157" s="1" t="n">
        <v>45828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56002-2020</t>
        </is>
      </c>
      <c r="B158" s="1" t="n">
        <v>44133</v>
      </c>
      <c r="C158" s="1" t="n">
        <v>45828</v>
      </c>
      <c r="D158" t="inlineStr">
        <is>
          <t>VÄSTRA GÖTALANDS LÄN</t>
        </is>
      </c>
      <c r="E158" t="inlineStr">
        <is>
          <t>SVENLJUNGA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56922-2020</t>
        </is>
      </c>
      <c r="B159" s="1" t="n">
        <v>44138</v>
      </c>
      <c r="C159" s="1" t="n">
        <v>45828</v>
      </c>
      <c r="D159" t="inlineStr">
        <is>
          <t>VÄSTRA GÖTALANDS LÄN</t>
        </is>
      </c>
      <c r="E159" t="inlineStr">
        <is>
          <t>SVENLJUNGA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56920-2020</t>
        </is>
      </c>
      <c r="B160" s="1" t="n">
        <v>44138</v>
      </c>
      <c r="C160" s="1" t="n">
        <v>45828</v>
      </c>
      <c r="D160" t="inlineStr">
        <is>
          <t>VÄSTRA GÖTALANDS LÄN</t>
        </is>
      </c>
      <c r="E160" t="inlineStr">
        <is>
          <t>SVENLJUNGA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59842-2020</t>
        </is>
      </c>
      <c r="B161" s="1" t="n">
        <v>44151</v>
      </c>
      <c r="C161" s="1" t="n">
        <v>45828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60968-2020</t>
        </is>
      </c>
      <c r="B162" s="1" t="n">
        <v>44154</v>
      </c>
      <c r="C162" s="1" t="n">
        <v>45828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45828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45828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45828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45828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45828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45828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45828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45828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45828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45828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45828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45828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45828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45828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45828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45828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45828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45828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45828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45828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45828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45828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45828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45828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45828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45828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45828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45828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45828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45828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45828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45828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45828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45828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45828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45828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45828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45828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45828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45828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45828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45828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45828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45828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45828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45828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45828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45828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45828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45828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45828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45828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45828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45828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45828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45828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45828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45828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45828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45828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45828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45828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45828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45828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45828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45828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45828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45828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45828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45828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45828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45828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45828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45828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45828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45828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45828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45828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45828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45828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45828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45828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45828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45828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45828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45828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45828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45828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45828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45828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45828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45828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45828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45828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45828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45828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45828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45828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45828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45828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45828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45828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45828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45828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45828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45828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45828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45828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45828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45828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45828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45828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45828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45828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45828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45828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45828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45828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45828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45828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45828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45828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45828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45828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45828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45828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45828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45828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45828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45828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45828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45828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45828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45828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45828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45828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45828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45828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45828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45828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45828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45828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45828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45828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45828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45828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45828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45828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45828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45828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45828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45828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45828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45828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45828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45828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45828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45828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45828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45828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45828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45828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45828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45828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45828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45828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45828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45828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45828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45828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45828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45828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45828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45828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45828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45828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45828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45828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45828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45828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45828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45828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45828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45828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45828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45828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45828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45828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45828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45828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45828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45828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45828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45828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45828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45828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45828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45828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45828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45828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45828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45828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45828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45828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45828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45828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45828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45828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45828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45828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45828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45828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45828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45828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45828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45828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45828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45828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45828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45828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45828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45828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45828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45828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45828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45828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45828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45828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45828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45828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45828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45828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45828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45828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45828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45828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45828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45828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45828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45828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45828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45828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45828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45828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45828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45828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45828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45828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45828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45828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45828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45828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45828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45828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45828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45828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45828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45828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45828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45828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45828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45828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45828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45828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45828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45828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45828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45828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45828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45828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45828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45828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45828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45828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45828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45828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45828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45828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45828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45828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45828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45828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45828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45828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45828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45828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45828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45828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45828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45828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45828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45828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45828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45828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45828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45828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45828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45828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45828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45828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45828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45828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45828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45828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45828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45828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45828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45828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45828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45828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45828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45828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45828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45828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45828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45828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45828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45828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45828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45828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45828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45828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45828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45828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45828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45828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45828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45828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45828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45828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45828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45828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45828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45828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45828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45828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45828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45828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45828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45828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45828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45828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45828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45828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45828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45828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45828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45828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45828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45828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45828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45828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45828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45828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45828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45828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45828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45828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45828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45828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45828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45828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45828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45828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45828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45828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45828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45828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45828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45828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45828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45828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45828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45828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45828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45828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45828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45828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45828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45828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45828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45828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45828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45828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45828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45828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45828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45828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45828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45828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45828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45828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45828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45828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45828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45828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45828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45828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45828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45828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45828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45828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45828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45828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45828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45828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45828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45828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45828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45828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45828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45828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45828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45828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45828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45828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45828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45828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45828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45828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45828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45828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45828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45828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45828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45828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45828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45828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45828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45828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45828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45828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45828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45828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45828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45828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45828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45828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45828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45828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45828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45828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45828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45828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45828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45828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45828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45828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45828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45828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45828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45828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45828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45828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45828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45828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45828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45828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45828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45828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45828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45828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45828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45828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45828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45828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45828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45828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45828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45828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45828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45828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45828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45828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45828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45828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45828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45828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45828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45828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45828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45828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45828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45828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45828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45828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45828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45828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45828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45828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45828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45828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45828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45828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45828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45828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45828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45828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45828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45828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45828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45828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45828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45828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45828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45828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45828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45828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45828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45828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45828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45828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45828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45828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45828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45828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45828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45828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45828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45828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45828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45828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45828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45828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45828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45828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45828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45828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45828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45828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45828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45828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45828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45828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45828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45828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45828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45828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45828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45828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45828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45828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45828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45828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45828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45828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45828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45828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45828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45828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45828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45828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45828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45828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45828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45828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45828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45828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45828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45828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45828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45828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45828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45828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45828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45828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45828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45828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45828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45828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45828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45828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45828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45828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45828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45828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45828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45828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45828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45828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45828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45828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45828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45828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45828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45828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45828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45828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45828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45828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45828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45828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45828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45828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45828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45828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45828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45828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45828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45828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45828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45828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45828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45828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45828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45828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45828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45828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45828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45828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45828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45828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45828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45828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45828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45828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45828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45828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45828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45828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45828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45828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45828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45828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45828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45828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45828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45828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45828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45828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45828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45828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45828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45828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45828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45828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45828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45828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45828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45828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45828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45828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45828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45828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45828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45828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45828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45828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45828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45828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45828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45828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45828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45828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45828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45828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45828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45828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45828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45828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45828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45828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45828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45828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45828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45828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45828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45828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45828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45828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45828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45828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45828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45828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45828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45828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45828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45828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45828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45828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45828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45828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45828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45828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45828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45828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45828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45828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45828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45828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45828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45828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45828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45828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45828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45828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45828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45828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45828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45828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45828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45828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45828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45828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45828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45828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45828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45828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45828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45828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45828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45828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45828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45828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45828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45828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45828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45828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45828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45828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45828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45828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45828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45828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45828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45828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45828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45828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45828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45828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45828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45828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45828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45828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45828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45828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45828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45828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45828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45828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45828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45828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45828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45828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45828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45828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45828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45828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45828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45828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45828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45828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45828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45828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45828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45828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45828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45828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45828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45828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45828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45828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45828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45828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45828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45828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45828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45828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45828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45828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45828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45828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45828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45828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45828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45828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45828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45828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45828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45828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45828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45828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45828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45828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45828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45828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45828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45828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45828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45828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45828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45828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45828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45828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45828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45828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45828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45828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45828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45828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45828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45828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45828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45828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45828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45828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45828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45828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45828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45828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45828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45828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45828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45828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45828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45828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45828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45828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45828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45828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45828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45828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45828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45828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45828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45828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45828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45828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45828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45828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45828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45828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45828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45828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45828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45828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45828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45828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45828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45828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22201-2025</t>
        </is>
      </c>
      <c r="B1003" s="1" t="n">
        <v>45785</v>
      </c>
      <c r="C1003" s="1" t="n">
        <v>45828</v>
      </c>
      <c r="D1003" t="inlineStr">
        <is>
          <t>VÄSTRA GÖTALANDS LÄN</t>
        </is>
      </c>
      <c r="E1003" t="inlineStr">
        <is>
          <t>SVENLJUNGA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22245-2025</t>
        </is>
      </c>
      <c r="B1004" s="1" t="n">
        <v>45785</v>
      </c>
      <c r="C1004" s="1" t="n">
        <v>45828</v>
      </c>
      <c r="D1004" t="inlineStr">
        <is>
          <t>VÄSTRA GÖTALANDS LÄN</t>
        </is>
      </c>
      <c r="E1004" t="inlineStr">
        <is>
          <t>SVENLJUNGA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22249-2025</t>
        </is>
      </c>
      <c r="B1005" s="1" t="n">
        <v>45785</v>
      </c>
      <c r="C1005" s="1" t="n">
        <v>45828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22247-2025</t>
        </is>
      </c>
      <c r="B1006" s="1" t="n">
        <v>45785</v>
      </c>
      <c r="C1006" s="1" t="n">
        <v>45828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22233-2025</t>
        </is>
      </c>
      <c r="B1007" s="1" t="n">
        <v>45785</v>
      </c>
      <c r="C1007" s="1" t="n">
        <v>45828</v>
      </c>
      <c r="D1007" t="inlineStr">
        <is>
          <t>VÄSTRA GÖTALANDS LÄN</t>
        </is>
      </c>
      <c r="E1007" t="inlineStr">
        <is>
          <t>SVENLJUNGA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22638-2025</t>
        </is>
      </c>
      <c r="B1008" s="1" t="n">
        <v>45789</v>
      </c>
      <c r="C1008" s="1" t="n">
        <v>45828</v>
      </c>
      <c r="D1008" t="inlineStr">
        <is>
          <t>VÄSTRA GÖTALANDS LÄN</t>
        </is>
      </c>
      <c r="E1008" t="inlineStr">
        <is>
          <t>SVENLJUNGA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22636-2025</t>
        </is>
      </c>
      <c r="B1009" s="1" t="n">
        <v>45789</v>
      </c>
      <c r="C1009" s="1" t="n">
        <v>45828</v>
      </c>
      <c r="D1009" t="inlineStr">
        <is>
          <t>VÄSTRA GÖTALANDS LÄN</t>
        </is>
      </c>
      <c r="E1009" t="inlineStr">
        <is>
          <t>SVENLJUNGA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45828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45828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45828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45828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45828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23833-2025</t>
        </is>
      </c>
      <c r="B1015" s="1" t="n">
        <v>45793</v>
      </c>
      <c r="C1015" s="1" t="n">
        <v>45828</v>
      </c>
      <c r="D1015" t="inlineStr">
        <is>
          <t>VÄSTRA GÖTALANDS LÄN</t>
        </is>
      </c>
      <c r="E1015" t="inlineStr">
        <is>
          <t>SVENLJUNGA</t>
        </is>
      </c>
      <c r="F1015" t="inlineStr">
        <is>
          <t>Sveaskog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45828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23795-2025</t>
        </is>
      </c>
      <c r="B1017" s="1" t="n">
        <v>45793</v>
      </c>
      <c r="C1017" s="1" t="n">
        <v>45828</v>
      </c>
      <c r="D1017" t="inlineStr">
        <is>
          <t>VÄSTRA GÖTALANDS LÄN</t>
        </is>
      </c>
      <c r="E1017" t="inlineStr">
        <is>
          <t>SVENLJUNGA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45828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45828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45828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25755-2025</t>
        </is>
      </c>
      <c r="B1021" s="1" t="n">
        <v>45804</v>
      </c>
      <c r="C1021" s="1" t="n">
        <v>45828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26615-2025</t>
        </is>
      </c>
      <c r="B1022" s="1" t="n">
        <v>45810</v>
      </c>
      <c r="C1022" s="1" t="n">
        <v>45828</v>
      </c>
      <c r="D1022" t="inlineStr">
        <is>
          <t>VÄSTRA GÖTALANDS LÄN</t>
        </is>
      </c>
      <c r="E1022" t="inlineStr">
        <is>
          <t>SVENLJUNGA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26616-2025</t>
        </is>
      </c>
      <c r="B1023" s="1" t="n">
        <v>45810</v>
      </c>
      <c r="C1023" s="1" t="n">
        <v>45828</v>
      </c>
      <c r="D1023" t="inlineStr">
        <is>
          <t>VÄSTRA GÖTALANDS LÄN</t>
        </is>
      </c>
      <c r="E1023" t="inlineStr">
        <is>
          <t>SVENLJUNGA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27724-2025</t>
        </is>
      </c>
      <c r="B1024" s="1" t="n">
        <v>45814</v>
      </c>
      <c r="C1024" s="1" t="n">
        <v>45828</v>
      </c>
      <c r="D1024" t="inlineStr">
        <is>
          <t>VÄSTRA GÖTALANDS LÄN</t>
        </is>
      </c>
      <c r="E1024" t="inlineStr">
        <is>
          <t>SVENLJUNGA</t>
        </is>
      </c>
      <c r="G1024" t="n">
        <v>4.2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27785-2025</t>
        </is>
      </c>
      <c r="B1025" s="1" t="n">
        <v>45816</v>
      </c>
      <c r="C1025" s="1" t="n">
        <v>45828</v>
      </c>
      <c r="D1025" t="inlineStr">
        <is>
          <t>VÄSTRA GÖTALANDS LÄN</t>
        </is>
      </c>
      <c r="E1025" t="inlineStr">
        <is>
          <t>SVENLJUNGA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27788-2025</t>
        </is>
      </c>
      <c r="B1026" s="1" t="n">
        <v>45816</v>
      </c>
      <c r="C1026" s="1" t="n">
        <v>45828</v>
      </c>
      <c r="D1026" t="inlineStr">
        <is>
          <t>VÄSTRA GÖTALANDS LÄN</t>
        </is>
      </c>
      <c r="E1026" t="inlineStr">
        <is>
          <t>SVENLJUNGA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27789-2025</t>
        </is>
      </c>
      <c r="B1027" s="1" t="n">
        <v>45816</v>
      </c>
      <c r="C1027" s="1" t="n">
        <v>45828</v>
      </c>
      <c r="D1027" t="inlineStr">
        <is>
          <t>VÄSTRA GÖTALANDS LÄN</t>
        </is>
      </c>
      <c r="E1027" t="inlineStr">
        <is>
          <t>SVENLJUNGA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28076-2025</t>
        </is>
      </c>
      <c r="B1028" s="1" t="n">
        <v>45817</v>
      </c>
      <c r="C1028" s="1" t="n">
        <v>45828</v>
      </c>
      <c r="D1028" t="inlineStr">
        <is>
          <t>VÄSTRA GÖTALANDS LÄN</t>
        </is>
      </c>
      <c r="E1028" t="inlineStr">
        <is>
          <t>SVENLJUNGA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27971-2025</t>
        </is>
      </c>
      <c r="B1029" s="1" t="n">
        <v>45817</v>
      </c>
      <c r="C1029" s="1" t="n">
        <v>45828</v>
      </c>
      <c r="D1029" t="inlineStr">
        <is>
          <t>VÄSTRA GÖTALANDS LÄN</t>
        </is>
      </c>
      <c r="E1029" t="inlineStr">
        <is>
          <t>SVENLJUNGA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28805-2025</t>
        </is>
      </c>
      <c r="B1030" s="1" t="n">
        <v>45820</v>
      </c>
      <c r="C1030" s="1" t="n">
        <v>45828</v>
      </c>
      <c r="D1030" t="inlineStr">
        <is>
          <t>VÄSTRA GÖTALANDS LÄN</t>
        </is>
      </c>
      <c r="E1030" t="inlineStr">
        <is>
          <t>SVENLJUNGA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29342-2025</t>
        </is>
      </c>
      <c r="B1031" s="1" t="n">
        <v>45824</v>
      </c>
      <c r="C1031" s="1" t="n">
        <v>45828</v>
      </c>
      <c r="D1031" t="inlineStr">
        <is>
          <t>VÄSTRA GÖTALANDS LÄN</t>
        </is>
      </c>
      <c r="E1031" t="inlineStr">
        <is>
          <t>SVENLJUNGA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29345-2025</t>
        </is>
      </c>
      <c r="B1032" s="1" t="n">
        <v>45824</v>
      </c>
      <c r="C1032" s="1" t="n">
        <v>45828</v>
      </c>
      <c r="D1032" t="inlineStr">
        <is>
          <t>VÄSTRA GÖTALANDS LÄN</t>
        </is>
      </c>
      <c r="E1032" t="inlineStr">
        <is>
          <t>SVENLJUNGA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29619-2025</t>
        </is>
      </c>
      <c r="B1033" s="1" t="n">
        <v>45825</v>
      </c>
      <c r="C1033" s="1" t="n">
        <v>45828</v>
      </c>
      <c r="D1033" t="inlineStr">
        <is>
          <t>VÄSTRA GÖTALANDS LÄN</t>
        </is>
      </c>
      <c r="E1033" t="inlineStr">
        <is>
          <t>SVENLJUNGA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30121-2025</t>
        </is>
      </c>
      <c r="B1034" s="1" t="n">
        <v>45826</v>
      </c>
      <c r="C1034" s="1" t="n">
        <v>45828</v>
      </c>
      <c r="D1034" t="inlineStr">
        <is>
          <t>VÄSTRA GÖTALANDS LÄN</t>
        </is>
      </c>
      <c r="E1034" t="inlineStr">
        <is>
          <t>SVENLJUNGA</t>
        </is>
      </c>
      <c r="F1034" t="inlineStr">
        <is>
          <t>Sveaskog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2025-06-20T19:26:41Z</dcterms:created>
  <dcterms:modified xmlns:dcterms="http://purl.org/dc/terms/" xmlns:xsi="http://www.w3.org/2001/XMLSchema-instance" xsi:type="dcterms:W3CDTF">2025-06-20T19:26:41Z</dcterms:modified>
</cp:coreProperties>
</file>