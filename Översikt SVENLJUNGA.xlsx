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45474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45474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45474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45474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45474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26718-2024</t>
        </is>
      </c>
      <c r="B7" s="1" t="n">
        <v>45470</v>
      </c>
      <c r="C7" s="1" t="n">
        <v>45474</v>
      </c>
      <c r="D7" t="inlineStr">
        <is>
          <t>VÄSTRA GÖTALANDS LÄN</t>
        </is>
      </c>
      <c r="E7" t="inlineStr">
        <is>
          <t>SVENLJUNGA</t>
        </is>
      </c>
      <c r="G7" t="n">
        <v>1.5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Stor revmossa
Västlig hakmossa</t>
        </is>
      </c>
      <c r="S7">
        <f>HYPERLINK("https://klasma.github.io/Logging_1465/artfynd/A 26718-2024 artfynd.xlsx", "A 26718-2024")</f>
        <v/>
      </c>
      <c r="T7">
        <f>HYPERLINK("https://klasma.github.io/Logging_1465/kartor/A 26718-2024 karta.png", "A 26718-2024")</f>
        <v/>
      </c>
      <c r="V7">
        <f>HYPERLINK("https://klasma.github.io/Logging_1465/klagomål/A 26718-2024 FSC-klagomål.docx", "A 26718-2024")</f>
        <v/>
      </c>
      <c r="W7">
        <f>HYPERLINK("https://klasma.github.io/Logging_1465/klagomålsmail/A 26718-2024 FSC-klagomål mail.docx", "A 26718-2024")</f>
        <v/>
      </c>
      <c r="X7">
        <f>HYPERLINK("https://klasma.github.io/Logging_1465/tillsyn/A 26718-2024 tillsynsbegäran.docx", "A 26718-2024")</f>
        <v/>
      </c>
      <c r="Y7">
        <f>HYPERLINK("https://klasma.github.io/Logging_1465/tillsynsmail/A 26718-2024 tillsynsbegäran mail.docx", "A 26718-2024")</f>
        <v/>
      </c>
    </row>
    <row r="8" ht="15" customHeight="1">
      <c r="A8" t="inlineStr">
        <is>
          <t>A 27812-2019</t>
        </is>
      </c>
      <c r="B8" s="1" t="n">
        <v>43620</v>
      </c>
      <c r="C8" s="1" t="n">
        <v>45474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5.8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HYPERLINK("https://klasma.github.io/Logging_1465/artfynd/A 27812-2019 artfynd.xlsx", "A 27812-2019")</f>
        <v/>
      </c>
      <c r="T8">
        <f>HYPERLINK("https://klasma.github.io/Logging_1465/kartor/A 27812-2019 karta.png", "A 27812-2019")</f>
        <v/>
      </c>
      <c r="V8">
        <f>HYPERLINK("https://klasma.github.io/Logging_1465/klagomål/A 27812-2019 FSC-klagomål.docx", "A 27812-2019")</f>
        <v/>
      </c>
      <c r="W8">
        <f>HYPERLINK("https://klasma.github.io/Logging_1465/klagomålsmail/A 27812-2019 FSC-klagomål mail.docx", "A 27812-2019")</f>
        <v/>
      </c>
      <c r="X8">
        <f>HYPERLINK("https://klasma.github.io/Logging_1465/tillsyn/A 27812-2019 tillsynsbegäran.docx", "A 27812-2019")</f>
        <v/>
      </c>
      <c r="Y8">
        <f>HYPERLINK("https://klasma.github.io/Logging_1465/tillsynsmail/A 27812-2019 tillsynsbegäran mail.docx", "A 27812-2019")</f>
        <v/>
      </c>
      <c r="Z8">
        <f>HYPERLINK("https://klasma.github.io/Logging_1465/fåglar/A 27812-2019 prioriterade fågelarter.docx", "A 27812-2019")</f>
        <v/>
      </c>
    </row>
    <row r="9" ht="15" customHeight="1">
      <c r="A9" t="inlineStr">
        <is>
          <t>A 9246-2021</t>
        </is>
      </c>
      <c r="B9" s="1" t="n">
        <v>44250</v>
      </c>
      <c r="C9" s="1" t="n">
        <v>45474</v>
      </c>
      <c r="D9" t="inlineStr">
        <is>
          <t>VÄSTRA GÖTALANDS LÄN</t>
        </is>
      </c>
      <c r="E9" t="inlineStr">
        <is>
          <t>SVENLJUNGA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HYPERLINK("https://klasma.github.io/Logging_1465/artfynd/A 9246-2021 artfynd.xlsx", "A 9246-2021")</f>
        <v/>
      </c>
      <c r="T9">
        <f>HYPERLINK("https://klasma.github.io/Logging_1465/kartor/A 9246-2021 karta.png", "A 9246-2021")</f>
        <v/>
      </c>
      <c r="V9">
        <f>HYPERLINK("https://klasma.github.io/Logging_1465/klagomål/A 9246-2021 FSC-klagomål.docx", "A 9246-2021")</f>
        <v/>
      </c>
      <c r="W9">
        <f>HYPERLINK("https://klasma.github.io/Logging_1465/klagomålsmail/A 9246-2021 FSC-klagomål mail.docx", "A 9246-2021")</f>
        <v/>
      </c>
      <c r="X9">
        <f>HYPERLINK("https://klasma.github.io/Logging_1465/tillsyn/A 9246-2021 tillsynsbegäran.docx", "A 9246-2021")</f>
        <v/>
      </c>
      <c r="Y9">
        <f>HYPERLINK("https://klasma.github.io/Logging_1465/tillsynsmail/A 9246-2021 tillsynsbegäran mail.docx", "A 9246-2021")</f>
        <v/>
      </c>
    </row>
    <row r="10" ht="15" customHeight="1">
      <c r="A10" t="inlineStr">
        <is>
          <t>A 8701-2022</t>
        </is>
      </c>
      <c r="B10" s="1" t="n">
        <v>44613</v>
      </c>
      <c r="C10" s="1" t="n">
        <v>45474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8701-2022 artfynd.xlsx", "A 8701-2022")</f>
        <v/>
      </c>
      <c r="T10">
        <f>HYPERLINK("https://klasma.github.io/Logging_1465/kartor/A 8701-2022 karta.png", "A 8701-2022")</f>
        <v/>
      </c>
      <c r="V10">
        <f>HYPERLINK("https://klasma.github.io/Logging_1465/klagomål/A 8701-2022 FSC-klagomål.docx", "A 8701-2022")</f>
        <v/>
      </c>
      <c r="W10">
        <f>HYPERLINK("https://klasma.github.io/Logging_1465/klagomålsmail/A 8701-2022 FSC-klagomål mail.docx", "A 8701-2022")</f>
        <v/>
      </c>
      <c r="X10">
        <f>HYPERLINK("https://klasma.github.io/Logging_1465/tillsyn/A 8701-2022 tillsynsbegäran.docx", "A 8701-2022")</f>
        <v/>
      </c>
      <c r="Y10">
        <f>HYPERLINK("https://klasma.github.io/Logging_1465/tillsynsmail/A 8701-2022 tillsynsbegäran mail.docx", "A 8701-2022")</f>
        <v/>
      </c>
    </row>
    <row r="11" ht="15" customHeight="1">
      <c r="A11" t="inlineStr">
        <is>
          <t>A 8697-2022</t>
        </is>
      </c>
      <c r="B11" s="1" t="n">
        <v>44613</v>
      </c>
      <c r="C11" s="1" t="n">
        <v>45474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8697-2022 artfynd.xlsx", "A 8697-2022")</f>
        <v/>
      </c>
      <c r="T11">
        <f>HYPERLINK("https://klasma.github.io/Logging_1465/kartor/A 8697-2022 karta.png", "A 8697-2022")</f>
        <v/>
      </c>
      <c r="V11">
        <f>HYPERLINK("https://klasma.github.io/Logging_1465/klagomål/A 8697-2022 FSC-klagomål.docx", "A 8697-2022")</f>
        <v/>
      </c>
      <c r="W11">
        <f>HYPERLINK("https://klasma.github.io/Logging_1465/klagomålsmail/A 8697-2022 FSC-klagomål mail.docx", "A 8697-2022")</f>
        <v/>
      </c>
      <c r="X11">
        <f>HYPERLINK("https://klasma.github.io/Logging_1465/tillsyn/A 8697-2022 tillsynsbegäran.docx", "A 8697-2022")</f>
        <v/>
      </c>
      <c r="Y11">
        <f>HYPERLINK("https://klasma.github.io/Logging_1465/tillsynsmail/A 8697-2022 tillsynsbegäran mail.docx", "A 8697-2022")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45474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4246-2024</t>
        </is>
      </c>
      <c r="B13" s="1" t="n">
        <v>45324</v>
      </c>
      <c r="C13" s="1" t="n">
        <v>45474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HYPERLINK("https://klasma.github.io/Logging_1465/artfynd/A 4246-2024 artfynd.xlsx", "A 4246-2024")</f>
        <v/>
      </c>
      <c r="T13">
        <f>HYPERLINK("https://klasma.github.io/Logging_1465/kartor/A 4246-2024 karta.png", "A 4246-2024")</f>
        <v/>
      </c>
      <c r="V13">
        <f>HYPERLINK("https://klasma.github.io/Logging_1465/klagomål/A 4246-2024 FSC-klagomål.docx", "A 4246-2024")</f>
        <v/>
      </c>
      <c r="W13">
        <f>HYPERLINK("https://klasma.github.io/Logging_1465/klagomålsmail/A 4246-2024 FSC-klagomål mail.docx", "A 4246-2024")</f>
        <v/>
      </c>
      <c r="X13">
        <f>HYPERLINK("https://klasma.github.io/Logging_1465/tillsyn/A 4246-2024 tillsynsbegäran.docx", "A 4246-2024")</f>
        <v/>
      </c>
      <c r="Y13">
        <f>HYPERLINK("https://klasma.github.io/Logging_1465/tillsynsmail/A 4246-2024 tillsynsbegäran mail.docx", "A 4246-2024")</f>
        <v/>
      </c>
    </row>
    <row r="14" ht="15" customHeight="1">
      <c r="A14" t="inlineStr">
        <is>
          <t>A 9635-2024</t>
        </is>
      </c>
      <c r="B14" s="1" t="n">
        <v>45362</v>
      </c>
      <c r="C14" s="1" t="n">
        <v>45474</v>
      </c>
      <c r="D14" t="inlineStr">
        <is>
          <t>VÄSTRA GÖTALANDS LÄN</t>
        </is>
      </c>
      <c r="E14" t="inlineStr">
        <is>
          <t>SVENLJUNGA</t>
        </is>
      </c>
      <c r="G14" t="n">
        <v>8.9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Almlav</t>
        </is>
      </c>
      <c r="S14">
        <f>HYPERLINK("https://klasma.github.io/Logging_1465/artfynd/A 9635-2024 artfynd.xlsx", "A 9635-2024")</f>
        <v/>
      </c>
      <c r="T14">
        <f>HYPERLINK("https://klasma.github.io/Logging_1465/kartor/A 9635-2024 karta.png", "A 9635-2024")</f>
        <v/>
      </c>
      <c r="V14">
        <f>HYPERLINK("https://klasma.github.io/Logging_1465/klagomål/A 9635-2024 FSC-klagomål.docx", "A 9635-2024")</f>
        <v/>
      </c>
      <c r="W14">
        <f>HYPERLINK("https://klasma.github.io/Logging_1465/klagomålsmail/A 9635-2024 FSC-klagomål mail.docx", "A 9635-2024")</f>
        <v/>
      </c>
      <c r="X14">
        <f>HYPERLINK("https://klasma.github.io/Logging_1465/tillsyn/A 9635-2024 tillsynsbegäran.docx", "A 9635-2024")</f>
        <v/>
      </c>
      <c r="Y14">
        <f>HYPERLINK("https://klasma.github.io/Logging_1465/tillsynsmail/A 9635-2024 tillsynsbegäran mail.docx", "A 9635-2024")</f>
        <v/>
      </c>
    </row>
    <row r="15" ht="15" customHeight="1">
      <c r="A15" t="inlineStr">
        <is>
          <t>A 12025-2024</t>
        </is>
      </c>
      <c r="B15" s="1" t="n">
        <v>45377</v>
      </c>
      <c r="C15" s="1" t="n">
        <v>45474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HYPERLINK("https://klasma.github.io/Logging_1465/artfynd/A 12025-2024 artfynd.xlsx", "A 12025-2024")</f>
        <v/>
      </c>
      <c r="T15">
        <f>HYPERLINK("https://klasma.github.io/Logging_1465/kartor/A 12025-2024 karta.png", "A 12025-2024")</f>
        <v/>
      </c>
      <c r="V15">
        <f>HYPERLINK("https://klasma.github.io/Logging_1465/klagomål/A 12025-2024 FSC-klagomål.docx", "A 12025-2024")</f>
        <v/>
      </c>
      <c r="W15">
        <f>HYPERLINK("https://klasma.github.io/Logging_1465/klagomålsmail/A 12025-2024 FSC-klagomål mail.docx", "A 12025-2024")</f>
        <v/>
      </c>
      <c r="X15">
        <f>HYPERLINK("https://klasma.github.io/Logging_1465/tillsyn/A 12025-2024 tillsynsbegäran.docx", "A 12025-2024")</f>
        <v/>
      </c>
      <c r="Y15">
        <f>HYPERLINK("https://klasma.github.io/Logging_1465/tillsynsmail/A 12025-2024 tillsynsbegäran mail.docx", "A 12025-2024")</f>
        <v/>
      </c>
      <c r="Z15">
        <f>HYPERLINK("https://klasma.github.io/Logging_1465/fåglar/A 12025-2024 prioriterade fågelarter.docx", "A 12025-2024")</f>
        <v/>
      </c>
    </row>
    <row r="16" ht="15" customHeight="1">
      <c r="A16" t="inlineStr">
        <is>
          <t>A 26712-2024</t>
        </is>
      </c>
      <c r="B16" s="1" t="n">
        <v>45470</v>
      </c>
      <c r="C16" s="1" t="n">
        <v>45474</v>
      </c>
      <c r="D16" t="inlineStr">
        <is>
          <t>VÄSTRA GÖTALANDS LÄN</t>
        </is>
      </c>
      <c r="E16" t="inlineStr">
        <is>
          <t>SVENLJUNGA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26712-2024 artfynd.xlsx", "A 26712-2024")</f>
        <v/>
      </c>
      <c r="T16">
        <f>HYPERLINK("https://klasma.github.io/Logging_1465/kartor/A 26712-2024 karta.png", "A 26712-2024")</f>
        <v/>
      </c>
      <c r="V16">
        <f>HYPERLINK("https://klasma.github.io/Logging_1465/klagomål/A 26712-2024 FSC-klagomål.docx", "A 26712-2024")</f>
        <v/>
      </c>
      <c r="W16">
        <f>HYPERLINK("https://klasma.github.io/Logging_1465/klagomålsmail/A 26712-2024 FSC-klagomål mail.docx", "A 26712-2024")</f>
        <v/>
      </c>
      <c r="X16">
        <f>HYPERLINK("https://klasma.github.io/Logging_1465/tillsyn/A 26712-2024 tillsynsbegäran.docx", "A 26712-2024")</f>
        <v/>
      </c>
      <c r="Y16">
        <f>HYPERLINK("https://klasma.github.io/Logging_1465/tillsynsmail/A 26712-2024 tillsynsbegäran mail.docx", "A 26712-2024")</f>
        <v/>
      </c>
    </row>
    <row r="17" ht="15" customHeight="1">
      <c r="A17" t="inlineStr">
        <is>
          <t>A 18154-2019</t>
        </is>
      </c>
      <c r="B17" s="1" t="n">
        <v>43558</v>
      </c>
      <c r="C17" s="1" t="n">
        <v>45474</v>
      </c>
      <c r="D17" t="inlineStr">
        <is>
          <t>VÄSTRA GÖTALANDS LÄN</t>
        </is>
      </c>
      <c r="E17" t="inlineStr">
        <is>
          <t>SVENLJUNGA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18568-2019</t>
        </is>
      </c>
      <c r="B18" s="1" t="n">
        <v>43559</v>
      </c>
      <c r="C18" s="1" t="n">
        <v>45474</v>
      </c>
      <c r="D18" t="inlineStr">
        <is>
          <t>VÄSTRA GÖTALANDS LÄN</t>
        </is>
      </c>
      <c r="E18" t="inlineStr">
        <is>
          <t>SVENLJUNGA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18567-2019</t>
        </is>
      </c>
      <c r="B19" s="1" t="n">
        <v>43559</v>
      </c>
      <c r="C19" s="1" t="n">
        <v>45474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18622-2019</t>
        </is>
      </c>
      <c r="B20" s="1" t="n">
        <v>43560</v>
      </c>
      <c r="C20" s="1" t="n">
        <v>45474</v>
      </c>
      <c r="D20" t="inlineStr">
        <is>
          <t>VÄSTRA GÖTALANDS LÄN</t>
        </is>
      </c>
      <c r="E20" t="inlineStr">
        <is>
          <t>SVENLJUNGA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19345-2019</t>
        </is>
      </c>
      <c r="B21" s="1" t="n">
        <v>43565</v>
      </c>
      <c r="C21" s="1" t="n">
        <v>45474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19346-2019</t>
        </is>
      </c>
      <c r="B22" s="1" t="n">
        <v>43565</v>
      </c>
      <c r="C22" s="1" t="n">
        <v>45474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19366-2019</t>
        </is>
      </c>
      <c r="B23" s="1" t="n">
        <v>43565</v>
      </c>
      <c r="C23" s="1" t="n">
        <v>45474</v>
      </c>
      <c r="D23" t="inlineStr">
        <is>
          <t>VÄSTRA GÖTALANDS LÄN</t>
        </is>
      </c>
      <c r="E23" t="inlineStr">
        <is>
          <t>SVENLJUNGA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20613-2019</t>
        </is>
      </c>
      <c r="B24" s="1" t="n">
        <v>43572</v>
      </c>
      <c r="C24" s="1" t="n">
        <v>45474</v>
      </c>
      <c r="D24" t="inlineStr">
        <is>
          <t>VÄSTRA GÖTALANDS LÄN</t>
        </is>
      </c>
      <c r="E24" t="inlineStr">
        <is>
          <t>SVENLJUNGA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22110-2019</t>
        </is>
      </c>
      <c r="B25" s="1" t="n">
        <v>43585</v>
      </c>
      <c r="C25" s="1" t="n">
        <v>45474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22715-2019</t>
        </is>
      </c>
      <c r="B26" s="1" t="n">
        <v>43588</v>
      </c>
      <c r="C26" s="1" t="n">
        <v>45474</v>
      </c>
      <c r="D26" t="inlineStr">
        <is>
          <t>VÄSTRA GÖTALANDS LÄN</t>
        </is>
      </c>
      <c r="E26" t="inlineStr">
        <is>
          <t>SVENLJUNGA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23054-2019</t>
        </is>
      </c>
      <c r="B27" s="1" t="n">
        <v>43591</v>
      </c>
      <c r="C27" s="1" t="n">
        <v>45474</v>
      </c>
      <c r="D27" t="inlineStr">
        <is>
          <t>VÄSTRA GÖTALANDS LÄN</t>
        </is>
      </c>
      <c r="E27" t="inlineStr">
        <is>
          <t>SVENLJUNGA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23115-2019</t>
        </is>
      </c>
      <c r="B28" s="1" t="n">
        <v>43592</v>
      </c>
      <c r="C28" s="1" t="n">
        <v>45474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24331-2019</t>
        </is>
      </c>
      <c r="B29" s="1" t="n">
        <v>43599</v>
      </c>
      <c r="C29" s="1" t="n">
        <v>45474</v>
      </c>
      <c r="D29" t="inlineStr">
        <is>
          <t>VÄSTRA GÖTALANDS LÄN</t>
        </is>
      </c>
      <c r="E29" t="inlineStr">
        <is>
          <t>SVENLJUNGA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24319-2019</t>
        </is>
      </c>
      <c r="B30" s="1" t="n">
        <v>43599</v>
      </c>
      <c r="C30" s="1" t="n">
        <v>45474</v>
      </c>
      <c r="D30" t="inlineStr">
        <is>
          <t>VÄSTRA GÖTALANDS LÄN</t>
        </is>
      </c>
      <c r="E30" t="inlineStr">
        <is>
          <t>SVENLJUNGA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24830-2019</t>
        </is>
      </c>
      <c r="B31" s="1" t="n">
        <v>43599</v>
      </c>
      <c r="C31" s="1" t="n">
        <v>45474</v>
      </c>
      <c r="D31" t="inlineStr">
        <is>
          <t>VÄSTRA GÖTALANDS LÄN</t>
        </is>
      </c>
      <c r="E31" t="inlineStr">
        <is>
          <t>SVENLJUNGA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24338-2019</t>
        </is>
      </c>
      <c r="B32" s="1" t="n">
        <v>43599</v>
      </c>
      <c r="C32" s="1" t="n">
        <v>45474</v>
      </c>
      <c r="D32" t="inlineStr">
        <is>
          <t>VÄSTRA GÖTALANDS LÄN</t>
        </is>
      </c>
      <c r="E32" t="inlineStr">
        <is>
          <t>SVENLJUNGA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26228-2019</t>
        </is>
      </c>
      <c r="B33" s="1" t="n">
        <v>43609</v>
      </c>
      <c r="C33" s="1" t="n">
        <v>45474</v>
      </c>
      <c r="D33" t="inlineStr">
        <is>
          <t>VÄSTRA GÖTALANDS LÄN</t>
        </is>
      </c>
      <c r="E33" t="inlineStr">
        <is>
          <t>SVENLJUNGA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26975-2019</t>
        </is>
      </c>
      <c r="B34" s="1" t="n">
        <v>43609</v>
      </c>
      <c r="C34" s="1" t="n">
        <v>45474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27826-2019</t>
        </is>
      </c>
      <c r="B35" s="1" t="n">
        <v>43620</v>
      </c>
      <c r="C35" s="1" t="n">
        <v>45474</v>
      </c>
      <c r="D35" t="inlineStr">
        <is>
          <t>VÄSTRA GÖTALANDS LÄN</t>
        </is>
      </c>
      <c r="E35" t="inlineStr">
        <is>
          <t>SVENLJUNGA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27825-2019</t>
        </is>
      </c>
      <c r="B36" s="1" t="n">
        <v>43620</v>
      </c>
      <c r="C36" s="1" t="n">
        <v>45474</v>
      </c>
      <c r="D36" t="inlineStr">
        <is>
          <t>VÄSTRA GÖTALANDS LÄN</t>
        </is>
      </c>
      <c r="E36" t="inlineStr">
        <is>
          <t>SVENLJUNGA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28478-2019</t>
        </is>
      </c>
      <c r="B37" s="1" t="n">
        <v>43626</v>
      </c>
      <c r="C37" s="1" t="n">
        <v>45474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28485-2019</t>
        </is>
      </c>
      <c r="B38" s="1" t="n">
        <v>43626</v>
      </c>
      <c r="C38" s="1" t="n">
        <v>45474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30245-2019</t>
        </is>
      </c>
      <c r="B39" s="1" t="n">
        <v>43634</v>
      </c>
      <c r="C39" s="1" t="n">
        <v>45474</v>
      </c>
      <c r="D39" t="inlineStr">
        <is>
          <t>VÄSTRA GÖTALANDS LÄN</t>
        </is>
      </c>
      <c r="E39" t="inlineStr">
        <is>
          <t>SVENLJUNGA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32269-2019</t>
        </is>
      </c>
      <c r="B40" s="1" t="n">
        <v>43644</v>
      </c>
      <c r="C40" s="1" t="n">
        <v>45474</v>
      </c>
      <c r="D40" t="inlineStr">
        <is>
          <t>VÄSTRA GÖTALANDS LÄN</t>
        </is>
      </c>
      <c r="E40" t="inlineStr">
        <is>
          <t>SVENLJUNGA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32302-2019</t>
        </is>
      </c>
      <c r="B41" s="1" t="n">
        <v>43644</v>
      </c>
      <c r="C41" s="1" t="n">
        <v>45474</v>
      </c>
      <c r="D41" t="inlineStr">
        <is>
          <t>VÄSTRA GÖTALANDS LÄN</t>
        </is>
      </c>
      <c r="E41" t="inlineStr">
        <is>
          <t>SVENLJUNGA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32290-2019</t>
        </is>
      </c>
      <c r="B42" s="1" t="n">
        <v>43644</v>
      </c>
      <c r="C42" s="1" t="n">
        <v>45474</v>
      </c>
      <c r="D42" t="inlineStr">
        <is>
          <t>VÄSTRA GÖTALANDS LÄN</t>
        </is>
      </c>
      <c r="E42" t="inlineStr">
        <is>
          <t>SVENLJUNGA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32279-2019</t>
        </is>
      </c>
      <c r="B43" s="1" t="n">
        <v>43644</v>
      </c>
      <c r="C43" s="1" t="n">
        <v>45474</v>
      </c>
      <c r="D43" t="inlineStr">
        <is>
          <t>VÄSTRA GÖTALANDS LÄN</t>
        </is>
      </c>
      <c r="E43" t="inlineStr">
        <is>
          <t>SVENLJUNGA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34414-2019</t>
        </is>
      </c>
      <c r="B44" s="1" t="n">
        <v>43647</v>
      </c>
      <c r="C44" s="1" t="n">
        <v>45474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34379-2019</t>
        </is>
      </c>
      <c r="B45" s="1" t="n">
        <v>43647</v>
      </c>
      <c r="C45" s="1" t="n">
        <v>45474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34759-2019</t>
        </is>
      </c>
      <c r="B46" s="1" t="n">
        <v>43658</v>
      </c>
      <c r="C46" s="1" t="n">
        <v>45474</v>
      </c>
      <c r="D46" t="inlineStr">
        <is>
          <t>VÄSTRA GÖTALANDS LÄN</t>
        </is>
      </c>
      <c r="E46" t="inlineStr">
        <is>
          <t>SVENLJUNGA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37059-2019</t>
        </is>
      </c>
      <c r="B47" s="1" t="n">
        <v>43676</v>
      </c>
      <c r="C47" s="1" t="n">
        <v>45474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37068-2019</t>
        </is>
      </c>
      <c r="B48" s="1" t="n">
        <v>43676</v>
      </c>
      <c r="C48" s="1" t="n">
        <v>45474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37061-2019</t>
        </is>
      </c>
      <c r="B49" s="1" t="n">
        <v>43676</v>
      </c>
      <c r="C49" s="1" t="n">
        <v>45474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37067-2019</t>
        </is>
      </c>
      <c r="B50" s="1" t="n">
        <v>43676</v>
      </c>
      <c r="C50" s="1" t="n">
        <v>45474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37150-2019</t>
        </is>
      </c>
      <c r="B51" s="1" t="n">
        <v>43677</v>
      </c>
      <c r="C51" s="1" t="n">
        <v>45474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45474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45474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45474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45474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45474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45474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45474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45474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45474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45474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45474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45474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45474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45474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45474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45474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45474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45474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45474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45474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45474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45474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45474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45474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45474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45474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45474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45474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45474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45474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45474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45474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45474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45474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45474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45474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45474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45474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45474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45474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45474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45474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45474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45474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45474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45474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45474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45474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45474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45474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45474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45474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45474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45474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45474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45474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45474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45474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45474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45474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45474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45474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45474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45474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45474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45474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45474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45474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45474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45474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45474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45474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45474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45474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45474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45474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45474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45474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45474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45474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45474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45474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45474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45474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45474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45474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45474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45474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45474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45474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45474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45474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45474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45474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45474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45474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45474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45474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45474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45474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45474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45474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45474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45474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45474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45474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45474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45474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45474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45474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45474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45474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45474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45474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45474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45474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45474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45474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45474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45474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45474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45474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45474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45474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45474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45474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45474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45474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45474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45474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45474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45474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45474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45474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45474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45474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45474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45474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45474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45474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45474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45474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45474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45474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45474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45474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45474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45474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45474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45474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45474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45474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45474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45474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45474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45474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45474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45474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45474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45474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45474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45474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45474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45474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45474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45474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45474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45474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45474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45474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45474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45474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45474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45474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45474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45474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45474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45474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45474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45474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45474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45474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45474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45474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45474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45474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45474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45474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45474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45474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45474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45474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45474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45474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45474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45474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45474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45474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45474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45474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45474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45474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45474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45474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45474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45474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45474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45474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45474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45474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45474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45474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45474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45474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45474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45474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45474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45474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45474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45474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45474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45474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45474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45474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45474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45474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45474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45474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45474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45474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45474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45474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45474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45474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45474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45474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45474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45474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45474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45474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45474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45474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45474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45474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45474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45474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45474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45474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45474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45474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45474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45474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45474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45474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45474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45474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45474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45474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45474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45474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45474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45474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45474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45474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45474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45474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45474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45474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45474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45474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45474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45474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45474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45474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45474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45474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45474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45474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45474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45474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45474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45474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45474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45474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45474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45474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45474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45474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45474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45474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45474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45474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45474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45474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45474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45474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45474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45474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45474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45474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45474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45474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45474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45474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45474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45474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45474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45474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45474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45474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45474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45474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45474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45474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45474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45474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45474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45474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45474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45474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45474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45474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45474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45474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45474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45474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45474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45474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45474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45474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45474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45474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45474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45474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45474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45474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45474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45474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45474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45474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45474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45474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45474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45474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45474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45474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45474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45474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45474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45474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45474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45474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45474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45474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45474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45474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45474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45474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45474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45474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45474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45474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45474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45474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45474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45474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45474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45474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45474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45474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45474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45474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45474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45474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45474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45474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45474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45474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45474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45474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45474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45474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45474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45474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45474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45474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45474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45474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45474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45474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45474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45474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45474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45474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45474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45474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45474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45474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45474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45474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45474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45474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45474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45474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45474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45474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45474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45474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45474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45474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45474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45474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45474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45474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45474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45474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45474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45474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45474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45474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45474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45474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45474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45474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45474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45474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45474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45474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45474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45474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45474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45474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45474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45474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45474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45474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45474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45474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45474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45474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45474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45474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45474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45474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45474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45474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45474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45474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45474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45474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45474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45474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45474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45474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45474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45474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45474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45474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45474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45474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45474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45474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45474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45474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45474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45474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45474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45474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45474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45474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45474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45474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45474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45474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45474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45474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45474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45474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45474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45474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45474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45474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45474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45474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45474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45474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45474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45474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45474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45474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45474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45474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45474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45474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45474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45474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45474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45474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45474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45474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45474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45474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45474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45474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45474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45474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45474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45474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45474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45474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45474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45474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45474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45474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45474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45474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45474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45474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45474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45474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45474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45474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45474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45474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45474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45474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45474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45474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45474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45474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45474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45474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45474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45474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45474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45474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45474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45474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45474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45474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45474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45474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45474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45474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45474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45474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45474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45474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45474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45474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45474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45474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45474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45474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45474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45474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45474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45474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45474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45474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45474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45474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45474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45474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45474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45474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45474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45474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45474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45474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45474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45474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45474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45474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45474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45474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45474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45474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45474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45474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45474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45474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45474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45474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45474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45474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45474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45474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45474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45474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45474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45474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45474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45474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45474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45474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45474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45474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45474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45474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45474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45474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45474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45474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45474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45474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45474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45474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45474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45474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45474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45474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45474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45474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45474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45474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45474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45474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45474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45474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45474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45474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45474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45474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45474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45474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45474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45474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45474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45474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45474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45474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45474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45474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45474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45474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45474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45474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45474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45474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45474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45474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45474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45474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45474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45474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45474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45474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45474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45474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45474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45474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45474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45474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45474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45474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45474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45474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45474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45474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45474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45474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45474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23343-2024</t>
        </is>
      </c>
      <c r="B715" s="1" t="n">
        <v>45453</v>
      </c>
      <c r="C715" s="1" t="n">
        <v>45474</v>
      </c>
      <c r="D715" t="inlineStr">
        <is>
          <t>VÄSTRA GÖTALANDS LÄN</t>
        </is>
      </c>
      <c r="E715" t="inlineStr">
        <is>
          <t>SVENLJUNGA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23345-2024</t>
        </is>
      </c>
      <c r="B716" s="1" t="n">
        <v>45453</v>
      </c>
      <c r="C716" s="1" t="n">
        <v>45474</v>
      </c>
      <c r="D716" t="inlineStr">
        <is>
          <t>VÄSTRA GÖTALANDS LÄN</t>
        </is>
      </c>
      <c r="E716" t="inlineStr">
        <is>
          <t>SVENLJUNGA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45474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45474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26709-2024</t>
        </is>
      </c>
      <c r="B719" s="1" t="n">
        <v>45470</v>
      </c>
      <c r="C719" s="1" t="n">
        <v>45474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2024-07-01T10:14:48Z</dcterms:created>
  <dcterms:modified xmlns:dcterms="http://purl.org/dc/terms/" xmlns:xsi="http://www.w3.org/2001/XMLSchema-instance" xsi:type="dcterms:W3CDTF">2024-07-01T10:14:48Z</dcterms:modified>
</cp:coreProperties>
</file>