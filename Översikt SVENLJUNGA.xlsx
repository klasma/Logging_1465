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46307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A 40847-2026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46296</v>
      </c>
      <c r="E8" s="1" t="n">
        <v>46307</v>
      </c>
      <c r="F8" t="inlineStr">
        <is>
          <t>VÄSTRA GÖTALANDS LÄN</t>
        </is>
      </c>
      <c r="G8" t="inlineStr">
        <is>
          <t>SVENLJUNGA</t>
        </is>
      </c>
      <c r="H8" t="inlineStr">
        <is>
          <t>Sveaskog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Lunglav
Fällmossa</t>
        </is>
      </c>
      <c r="W8">
        <f>HYPERLINK("https://klasma.github.io/Logging_1465/artfynd/A 40847-2026 artfynd.xlsx", "A 40847-2026")</f>
        <v/>
      </c>
      <c r="X8">
        <f>HYPERLINK("https://klasma.github.io/Logging_1465/kartor/A 40847-2026 karta.png", "A 40847-2026")</f>
        <v/>
      </c>
      <c r="Y8">
        <f>HYPERLINK("https://klasma.github.io/Logging_1465/kartor_geotiff/A 40847-2026 georefererad karta.tif", "A 40847-2026")</f>
        <v/>
      </c>
      <c r="AA8">
        <f>HYPERLINK("https://klasma.github.io/Logging_1465/klagomål/A 40847-2026 FSC-klagomål.docx", "A 40847-2026")</f>
        <v/>
      </c>
      <c r="AB8">
        <f>HYPERLINK("https://klasma.github.io/Logging_1465/klagomålsmail/A 40847-2026 FSC-klagomål mail.docx", "A 40847-2026")</f>
        <v/>
      </c>
      <c r="AC8">
        <f>HYPERLINK("https://klasma.github.io/Logging_1465/tillsyn/A 40847-2026 tillsynsbegäran.docx", "A 40847-2026")</f>
        <v/>
      </c>
      <c r="AD8">
        <f>HYPERLINK("https://klasma.github.io/Logging_1465/tillsynsmail/A 40847-2026 tillsynsbegäran mail.docx", "A 40847-2026")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46307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46307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46307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46307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46307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46307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25755-2025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46307</v>
      </c>
      <c r="F15" t="inlineStr">
        <is>
          <t>VÄSTRA GÖTALANDS LÄN</t>
        </is>
      </c>
      <c r="G15" t="inlineStr">
        <is>
          <t>SVENLJUNGA</t>
        </is>
      </c>
      <c r="I15" t="n">
        <v>5.7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HYPERLINK("https://klasma.github.io/Logging_1465/artfynd/A 25755-2025 artfynd.xlsx", "A 25755-2025")</f>
        <v/>
      </c>
      <c r="X15">
        <f>HYPERLINK("https://klasma.github.io/Logging_1465/kartor/A 25755-2025 karta.png", "A 25755-2025")</f>
        <v/>
      </c>
      <c r="Y15">
        <f>HYPERLINK("https://klasma.github.io/Logging_1465/kartor_geotiff/A 25755-2025 georefererad karta.tif", "A 25755-2025")</f>
        <v/>
      </c>
      <c r="AA15">
        <f>HYPERLINK("https://klasma.github.io/Logging_1465/klagomål/A 25755-2025 FSC-klagomål.docx", "A 25755-2025")</f>
        <v/>
      </c>
      <c r="AB15">
        <f>HYPERLINK("https://klasma.github.io/Logging_1465/klagomålsmail/A 25755-2025 FSC-klagomål mail.docx", "A 25755-2025")</f>
        <v/>
      </c>
      <c r="AC15">
        <f>HYPERLINK("https://klasma.github.io/Logging_1465/tillsyn/A 25755-2025 tillsynsbegäran.docx", "A 25755-2025")</f>
        <v/>
      </c>
      <c r="AD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46307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63476-2023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45274</v>
      </c>
      <c r="E17" s="1" t="n">
        <v>46307</v>
      </c>
      <c r="F17" t="inlineStr">
        <is>
          <t>VÄSTRA GÖTALANDS LÄN</t>
        </is>
      </c>
      <c r="G17" t="inlineStr">
        <is>
          <t>SVENLJUNGA</t>
        </is>
      </c>
      <c r="I17" t="n">
        <v>2.3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Flytsäv</t>
        </is>
      </c>
      <c r="W17">
        <f>HYPERLINK("https://klasma.github.io/Logging_1465/artfynd/A 63476-2023 artfynd.xlsx", "A 63476-2023")</f>
        <v/>
      </c>
      <c r="X17">
        <f>HYPERLINK("https://klasma.github.io/Logging_1465/kartor/A 63476-2023 karta.png", "A 63476-2023")</f>
        <v/>
      </c>
      <c r="Y17">
        <f>HYPERLINK("https://klasma.github.io/Logging_1465/kartor_geotiff/A 63476-2023 georefererad karta.tif", "A 63476-2023")</f>
        <v/>
      </c>
      <c r="AA17">
        <f>HYPERLINK("https://klasma.github.io/Logging_1465/klagomål/A 63476-2023 FSC-klagomål.docx", "A 63476-2023")</f>
        <v/>
      </c>
      <c r="AB17">
        <f>HYPERLINK("https://klasma.github.io/Logging_1465/klagomålsmail/A 63476-2023 FSC-klagomål mail.docx", "A 63476-2023")</f>
        <v/>
      </c>
      <c r="AC17">
        <f>HYPERLINK("https://klasma.github.io/Logging_1465/tillsyn/A 63476-2023 tillsynsbegäran.docx", "A 63476-2023")</f>
        <v/>
      </c>
      <c r="AD17">
        <f>HYPERLINK("https://klasma.github.io/Logging_1465/tillsynsmail/A 63476-2023 tillsynsbegäran mail.docx", "A 63476-2023")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46307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46307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46307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HYPERLINK("https://klasma.github.io/Logging_1465/artfynd/A 516-2026 artfynd.xlsx", "A 516-2026")</f>
        <v/>
      </c>
      <c r="X20">
        <f>HYPERLINK("https://klasma.github.io/Logging_1465/kartor/A 516-2026 karta.png", "A 516-2026")</f>
        <v/>
      </c>
      <c r="Y20">
        <f>HYPERLINK("https://klasma.github.io/Logging_1465/kartor_geotiff/A 516-2026 georefererad karta.tif", "A 516-2026")</f>
        <v/>
      </c>
      <c r="AA20">
        <f>HYPERLINK("https://klasma.github.io/Logging_1465/klagomål/A 516-2026 FSC-klagomål.docx", "A 516-2026")</f>
        <v/>
      </c>
      <c r="AB20">
        <f>HYPERLINK("https://klasma.github.io/Logging_1465/klagomålsmail/A 516-2026 FSC-klagomål mail.docx", "A 516-2026")</f>
        <v/>
      </c>
      <c r="AC20">
        <f>HYPERLINK("https://klasma.github.io/Logging_1465/tillsyn/A 516-2026 tillsynsbegäran.docx", "A 516-2026")</f>
        <v/>
      </c>
      <c r="AD20">
        <f>HYPERLINK("https://klasma.github.io/Logging_1465/tillsynsmail/A 516-2026 tillsynsbegäran mail.docx", "A 516-2026")</f>
        <v/>
      </c>
    </row>
    <row r="21" ht="15" customHeight="1">
      <c r="A21" t="inlineStr">
        <is>
          <t>A 11966-2026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46307</v>
      </c>
      <c r="F21" t="inlineStr">
        <is>
          <t>VÄSTRA GÖTALANDS LÄN</t>
        </is>
      </c>
      <c r="G21" t="inlineStr">
        <is>
          <t>SVENLJUNGA</t>
        </is>
      </c>
      <c r="H21" t="inlineStr">
        <is>
          <t>Sveaskog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HYPERLINK("https://klasma.github.io/Logging_1465/artfynd/A 11966-2026 artfynd.xlsx", "A 11966-2026")</f>
        <v/>
      </c>
      <c r="X21">
        <f>HYPERLINK("https://klasma.github.io/Logging_1465/kartor/A 11966-2026 karta.png", "A 11966-2026")</f>
        <v/>
      </c>
      <c r="Y21">
        <f>HYPERLINK("https://klasma.github.io/Logging_1465/kartor_geotiff/A 11966-2026 georefererad karta.tif", "A 11966-2026")</f>
        <v/>
      </c>
      <c r="AA21">
        <f>HYPERLINK("https://klasma.github.io/Logging_1465/klagomål/A 11966-2026 FSC-klagomål.docx", "A 11966-2026")</f>
        <v/>
      </c>
      <c r="AB21">
        <f>HYPERLINK("https://klasma.github.io/Logging_1465/klagomålsmail/A 11966-2026 FSC-klagomål mail.docx", "A 11966-2026")</f>
        <v/>
      </c>
      <c r="AC21">
        <f>HYPERLINK("https://klasma.github.io/Logging_1465/tillsyn/A 11966-2026 tillsynsbegäran.docx", "A 11966-2026")</f>
        <v/>
      </c>
      <c r="AD21">
        <f>HYPERLINK("https://klasma.github.io/Logging_1465/tillsynsmail/A 11966-2026 tillsynsbegäran mail.docx", "A 11966-2026")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46307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HYPERLINK("https://klasma.github.io/Logging_1465/artfynd/A 26235-2026 artfynd.xlsx", "A 26235-2026")</f>
        <v/>
      </c>
      <c r="X22">
        <f>HYPERLINK("https://klasma.github.io/Logging_1465/kartor/A 26235-2026 karta.png", "A 26235-2026")</f>
        <v/>
      </c>
      <c r="Y22">
        <f>HYPERLINK("https://klasma.github.io/Logging_1465/kartor_geotiff/A 26235-2026 georefererad karta.tif", "A 26235-2026")</f>
        <v/>
      </c>
      <c r="AA22">
        <f>HYPERLINK("https://klasma.github.io/Logging_1465/klagomål/A 26235-2026 FSC-klagomål.docx", "A 26235-2026")</f>
        <v/>
      </c>
      <c r="AB22">
        <f>HYPERLINK("https://klasma.github.io/Logging_1465/klagomålsmail/A 26235-2026 FSC-klagomål mail.docx", "A 26235-2026")</f>
        <v/>
      </c>
      <c r="AC22">
        <f>HYPERLINK("https://klasma.github.io/Logging_1465/tillsyn/A 26235-2026 tillsynsbegäran.docx", "A 26235-2026")</f>
        <v/>
      </c>
      <c r="AD22">
        <f>HYPERLINK("https://klasma.github.io/Logging_1465/tillsynsmail/A 26235-2026 tillsynsbegäran mail.docx", "A 26235-2026")</f>
        <v/>
      </c>
    </row>
    <row r="23" ht="15" customHeight="1">
      <c r="A23" t="inlineStr">
        <is>
          <t>A 29479-2026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46203</v>
      </c>
      <c r="E23" s="1" t="n">
        <v>46307</v>
      </c>
      <c r="F23" t="inlineStr">
        <is>
          <t>VÄSTRA GÖTALANDS LÄN</t>
        </is>
      </c>
      <c r="G23" t="inlineStr">
        <is>
          <t>SVENLJUNGA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Grynig filtlav</t>
        </is>
      </c>
      <c r="W23">
        <f>HYPERLINK("https://klasma.github.io/Logging_1465/artfynd/A 29479-2026 artfynd.xlsx", "A 29479-2026")</f>
        <v/>
      </c>
      <c r="X23">
        <f>HYPERLINK("https://klasma.github.io/Logging_1465/kartor/A 29479-2026 karta.png", "A 29479-2026")</f>
        <v/>
      </c>
      <c r="Y23">
        <f>HYPERLINK("https://klasma.github.io/Logging_1465/kartor_geotiff/A 29479-2026 georefererad karta.tif", "A 29479-2026")</f>
        <v/>
      </c>
      <c r="AA23">
        <f>HYPERLINK("https://klasma.github.io/Logging_1465/klagomål/A 29479-2026 FSC-klagomål.docx", "A 29479-2026")</f>
        <v/>
      </c>
      <c r="AB23">
        <f>HYPERLINK("https://klasma.github.io/Logging_1465/klagomålsmail/A 29479-2026 FSC-klagomål mail.docx", "A 29479-2026")</f>
        <v/>
      </c>
      <c r="AC23">
        <f>HYPERLINK("https://klasma.github.io/Logging_1465/tillsyn/A 29479-2026 tillsynsbegäran.docx", "A 29479-2026")</f>
        <v/>
      </c>
      <c r="AD23">
        <f>HYPERLINK("https://klasma.github.io/Logging_1465/tillsynsmail/A 29479-2026 tillsynsbegäran mail.docx", "A 29479-2026")</f>
        <v/>
      </c>
    </row>
    <row r="24" ht="15" customHeight="1">
      <c r="A24" t="inlineStr">
        <is>
          <t>A 37104-2026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46274</v>
      </c>
      <c r="E24" s="1" t="n">
        <v>46307</v>
      </c>
      <c r="F24" t="inlineStr">
        <is>
          <t>VÄSTRA GÖTALANDS LÄN</t>
        </is>
      </c>
      <c r="G24" t="inlineStr">
        <is>
          <t>SVENLJUNGA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Klippfrullania</t>
        </is>
      </c>
      <c r="W24">
        <f>HYPERLINK("https://klasma.github.io/Logging_1465/artfynd/A 37104-2026 artfynd.xlsx", "A 37104-2026")</f>
        <v/>
      </c>
      <c r="X24">
        <f>HYPERLINK("https://klasma.github.io/Logging_1465/kartor/A 37104-2026 karta.png", "A 37104-2026")</f>
        <v/>
      </c>
      <c r="Y24">
        <f>HYPERLINK("https://klasma.github.io/Logging_1465/kartor_geotiff/A 37104-2026 georefererad karta.tif", "A 37104-2026")</f>
        <v/>
      </c>
      <c r="AA24">
        <f>HYPERLINK("https://klasma.github.io/Logging_1465/klagomål/A 37104-2026 FSC-klagomål.docx", "A 37104-2026")</f>
        <v/>
      </c>
      <c r="AB24">
        <f>HYPERLINK("https://klasma.github.io/Logging_1465/klagomålsmail/A 37104-2026 FSC-klagomål mail.docx", "A 37104-2026")</f>
        <v/>
      </c>
      <c r="AC24">
        <f>HYPERLINK("https://klasma.github.io/Logging_1465/tillsyn/A 37104-2026 tillsynsbegäran.docx", "A 37104-2026")</f>
        <v/>
      </c>
      <c r="AD24">
        <f>HYPERLINK("https://klasma.github.io/Logging_1465/tillsynsmail/A 37104-2026 tillsynsbegäran mail.docx", "A 37104-2026")</f>
        <v/>
      </c>
    </row>
    <row r="25" ht="15" customHeight="1">
      <c r="A25" t="inlineStr">
        <is>
          <t>A 39346-2026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46307</v>
      </c>
      <c r="F25" t="inlineStr">
        <is>
          <t>VÄSTRA GÖTALANDS LÄN</t>
        </is>
      </c>
      <c r="G25" t="inlineStr">
        <is>
          <t>SVENLJUNGA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Thomsons trägnagare</t>
        </is>
      </c>
      <c r="W25">
        <f>HYPERLINK("https://klasma.github.io/Logging_1465/artfynd/A 39346-2026 artfynd.xlsx", "A 39346-2026")</f>
        <v/>
      </c>
      <c r="X25">
        <f>HYPERLINK("https://klasma.github.io/Logging_1465/kartor/A 39346-2026 karta.png", "A 39346-2026")</f>
        <v/>
      </c>
      <c r="Y25">
        <f>HYPERLINK("https://klasma.github.io/Logging_1465/kartor_geotiff/A 39346-2026 georefererad karta.tif", "A 39346-2026")</f>
        <v/>
      </c>
      <c r="AA25">
        <f>HYPERLINK("https://klasma.github.io/Logging_1465/klagomål/A 39346-2026 FSC-klagomål.docx", "A 39346-2026")</f>
        <v/>
      </c>
      <c r="AB25">
        <f>HYPERLINK("https://klasma.github.io/Logging_1465/klagomålsmail/A 39346-2026 FSC-klagomål mail.docx", "A 39346-2026")</f>
        <v/>
      </c>
      <c r="AC25">
        <f>HYPERLINK("https://klasma.github.io/Logging_1465/tillsyn/A 39346-2026 tillsynsbegäran.docx", "A 39346-2026")</f>
        <v/>
      </c>
      <c r="AD25">
        <f>HYPERLINK("https://klasma.github.io/Logging_1465/tillsynsmail/A 39346-2026 tillsynsbegäran mail.docx", "A 39346-2026")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46307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46307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46307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46307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46307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46307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46307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46307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46307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46307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46307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46307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46307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46307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46307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46307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46307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46307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46307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46307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46307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46307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46307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46307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46307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46307</v>
      </c>
      <c r="F51" t="inlineStr">
        <is>
          <t>VÄSTRA GÖTALANDS LÄN</t>
        </is>
      </c>
      <c r="G51" t="inlineStr">
        <is>
          <t>SVENLJUNGA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46307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46307</v>
      </c>
      <c r="F53" t="inlineStr">
        <is>
          <t>VÄSTRA GÖTALANDS LÄN</t>
        </is>
      </c>
      <c r="G53" t="inlineStr">
        <is>
          <t>SVENLJUNGA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69092-2021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44530</v>
      </c>
      <c r="E54" s="1" t="n">
        <v>46307</v>
      </c>
      <c r="F54" t="inlineStr">
        <is>
          <t>VÄSTRA GÖTALANDS LÄN</t>
        </is>
      </c>
      <c r="G54" t="inlineStr">
        <is>
          <t>SVENLJUNGA</t>
        </is>
      </c>
      <c r="H54" t="inlineStr">
        <is>
          <t>Kommuner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33675-2022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44789</v>
      </c>
      <c r="E55" s="1" t="n">
        <v>46307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46307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46307</v>
      </c>
      <c r="F57" t="inlineStr">
        <is>
          <t>VÄSTRA GÖTALANDS LÄN</t>
        </is>
      </c>
      <c r="G57" t="inlineStr">
        <is>
          <t>SVENLJUNGA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46307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46307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44796</v>
      </c>
      <c r="E60" s="1" t="n">
        <v>46307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46307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46307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69101-2021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46307</v>
      </c>
      <c r="F63" t="inlineStr">
        <is>
          <t>VÄSTRA GÖTALANDS LÄN</t>
        </is>
      </c>
      <c r="G63" t="inlineStr">
        <is>
          <t>SVENLJUNGA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46307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46307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54650-2022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44883</v>
      </c>
      <c r="E66" s="1" t="n">
        <v>46307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46307</v>
      </c>
      <c r="F67" t="inlineStr">
        <is>
          <t>VÄSTRA GÖTALANDS LÄN</t>
        </is>
      </c>
      <c r="G67" t="inlineStr">
        <is>
          <t>SVENLJUNGA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65072-2021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46307</v>
      </c>
      <c r="F68" t="inlineStr">
        <is>
          <t>VÄSTRA GÖTALANDS LÄN</t>
        </is>
      </c>
      <c r="G68" t="inlineStr">
        <is>
          <t>SVENLJUNGA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46307</v>
      </c>
      <c r="F69" t="inlineStr">
        <is>
          <t>VÄSTRA GÖTALANDS LÄN</t>
        </is>
      </c>
      <c r="G69" t="inlineStr">
        <is>
          <t>SVENLJUNGA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44610</v>
      </c>
      <c r="E70" s="1" t="n">
        <v>46307</v>
      </c>
      <c r="F70" t="inlineStr">
        <is>
          <t>VÄSTRA GÖTALANDS LÄN</t>
        </is>
      </c>
      <c r="G70" t="inlineStr">
        <is>
          <t>SVENLJUNGA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46307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46307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67472-2021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46307</v>
      </c>
      <c r="F73" t="inlineStr">
        <is>
          <t>VÄSTRA GÖTALANDS LÄN</t>
        </is>
      </c>
      <c r="G73" t="inlineStr">
        <is>
          <t>SVENLJUNGA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46307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46307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46307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46307</v>
      </c>
      <c r="F77" t="inlineStr">
        <is>
          <t>VÄSTRA GÖTALANDS LÄN</t>
        </is>
      </c>
      <c r="G77" t="inlineStr">
        <is>
          <t>SVENLJUNGA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46307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46307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46307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44930</v>
      </c>
      <c r="E81" s="1" t="n">
        <v>46307</v>
      </c>
      <c r="F81" t="inlineStr">
        <is>
          <t>VÄSTRA GÖTALANDS LÄN</t>
        </is>
      </c>
      <c r="G81" t="inlineStr">
        <is>
          <t>SVENLJUNGA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26311-2023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45091</v>
      </c>
      <c r="E82" s="1" t="n">
        <v>46307</v>
      </c>
      <c r="F82" t="inlineStr">
        <is>
          <t>VÄSTRA GÖTALANDS LÄN</t>
        </is>
      </c>
      <c r="G82" t="inlineStr">
        <is>
          <t>SVENLJUNGA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45160</v>
      </c>
      <c r="E83" s="1" t="n">
        <v>46307</v>
      </c>
      <c r="F83" t="inlineStr">
        <is>
          <t>VÄSTRA GÖTALANDS LÄN</t>
        </is>
      </c>
      <c r="G83" t="inlineStr">
        <is>
          <t>SVENLJUNGA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46307</v>
      </c>
      <c r="F84" t="inlineStr">
        <is>
          <t>VÄSTRA GÖTALANDS LÄN</t>
        </is>
      </c>
      <c r="G84" t="inlineStr">
        <is>
          <t>SVENLJUNGA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46307</v>
      </c>
      <c r="F85" t="inlineStr">
        <is>
          <t>VÄSTRA GÖTALANDS LÄN</t>
        </is>
      </c>
      <c r="G85" t="inlineStr">
        <is>
          <t>SVENLJUNGA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45485</v>
      </c>
      <c r="E86" s="1" t="n">
        <v>46307</v>
      </c>
      <c r="F86" t="inlineStr">
        <is>
          <t>VÄSTRA GÖTALANDS LÄN</t>
        </is>
      </c>
      <c r="G86" t="inlineStr">
        <is>
          <t>SVENLJUNGA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45029</v>
      </c>
      <c r="E87" s="1" t="n">
        <v>46307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44860</v>
      </c>
      <c r="E88" s="1" t="n">
        <v>46307</v>
      </c>
      <c r="F88" t="inlineStr">
        <is>
          <t>VÄSTRA GÖTALANDS LÄN</t>
        </is>
      </c>
      <c r="G88" t="inlineStr">
        <is>
          <t>SVENLJUNGA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46307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46307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46307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46307</v>
      </c>
      <c r="F92" t="inlineStr">
        <is>
          <t>VÄSTRA GÖTALANDS LÄN</t>
        </is>
      </c>
      <c r="G92" t="inlineStr">
        <is>
          <t>SVENLJUNGA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24434-2023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45082</v>
      </c>
      <c r="E93" s="1" t="n">
        <v>46307</v>
      </c>
      <c r="F93" t="inlineStr">
        <is>
          <t>VÄSTRA GÖTALANDS LÄN</t>
        </is>
      </c>
      <c r="G93" t="inlineStr">
        <is>
          <t>SVENLJUNGA</t>
        </is>
      </c>
      <c r="H93" t="inlineStr">
        <is>
          <t>Kommuner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46307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46307</v>
      </c>
      <c r="F95" t="inlineStr">
        <is>
          <t>VÄSTRA GÖTALANDS LÄN</t>
        </is>
      </c>
      <c r="G95" t="inlineStr">
        <is>
          <t>SVENLJUNGA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46307</v>
      </c>
      <c r="F96" t="inlineStr">
        <is>
          <t>VÄSTRA GÖTALANDS LÄN</t>
        </is>
      </c>
      <c r="G96" t="inlineStr">
        <is>
          <t>SVENLJUNGA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46307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44849</v>
      </c>
      <c r="E98" s="1" t="n">
        <v>46307</v>
      </c>
      <c r="F98" t="inlineStr">
        <is>
          <t>VÄSTRA GÖTALANDS LÄN</t>
        </is>
      </c>
      <c r="G98" t="inlineStr">
        <is>
          <t>SVENLJUNGA</t>
        </is>
      </c>
      <c r="I98" t="n">
        <v>12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45751</v>
      </c>
      <c r="E99" s="1" t="n">
        <v>46307</v>
      </c>
      <c r="F99" t="inlineStr">
        <is>
          <t>VÄSTRA GÖTALANDS LÄN</t>
        </is>
      </c>
      <c r="G99" t="inlineStr">
        <is>
          <t>SVENLJUNGA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46307</v>
      </c>
      <c r="F100" t="inlineStr">
        <is>
          <t>VÄSTRA GÖTALANDS LÄN</t>
        </is>
      </c>
      <c r="G100" t="inlineStr">
        <is>
          <t>SVENLJUNGA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11963-2024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45376</v>
      </c>
      <c r="E101" s="1" t="n">
        <v>46307</v>
      </c>
      <c r="F101" t="inlineStr">
        <is>
          <t>VÄSTRA GÖTALANDS LÄN</t>
        </is>
      </c>
      <c r="G101" t="inlineStr">
        <is>
          <t>SVENLJUNGA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46307</v>
      </c>
      <c r="F102" t="inlineStr">
        <is>
          <t>VÄSTRA GÖTALANDS LÄN</t>
        </is>
      </c>
      <c r="G102" t="inlineStr">
        <is>
          <t>SVENLJUNGA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46307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46307</v>
      </c>
      <c r="F104" t="inlineStr">
        <is>
          <t>VÄSTRA GÖTALANDS LÄN</t>
        </is>
      </c>
      <c r="G104" t="inlineStr">
        <is>
          <t>SVENLJUNGA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46307</v>
      </c>
      <c r="F105" t="inlineStr">
        <is>
          <t>VÄSTRA GÖTALANDS LÄN</t>
        </is>
      </c>
      <c r="G105" t="inlineStr">
        <is>
          <t>SVENLJUNGA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45628</v>
      </c>
      <c r="E106" s="1" t="n">
        <v>46307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46307</v>
      </c>
      <c r="F107" t="inlineStr">
        <is>
          <t>VÄSTRA GÖTALANDS LÄN</t>
        </is>
      </c>
      <c r="G107" t="inlineStr">
        <is>
          <t>SVENLJUNGA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46307</v>
      </c>
      <c r="F108" t="inlineStr">
        <is>
          <t>VÄSTRA GÖTALANDS LÄN</t>
        </is>
      </c>
      <c r="G108" t="inlineStr">
        <is>
          <t>SVENLJUNGA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55206-2024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46307</v>
      </c>
      <c r="F109" t="inlineStr">
        <is>
          <t>VÄSTRA GÖTALANDS LÄN</t>
        </is>
      </c>
      <c r="G109" t="inlineStr">
        <is>
          <t>SVENLJUNGA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40552-2024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45555</v>
      </c>
      <c r="E110" s="1" t="n">
        <v>46307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46307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60561-2024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45644</v>
      </c>
      <c r="E112" s="1" t="n">
        <v>46307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46307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46307</v>
      </c>
      <c r="F114" t="inlineStr">
        <is>
          <t>VÄSTRA GÖTALANDS LÄN</t>
        </is>
      </c>
      <c r="G114" t="inlineStr">
        <is>
          <t>SVENLJUNGA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46307</v>
      </c>
      <c r="F115" t="inlineStr">
        <is>
          <t>VÄSTRA GÖTALANDS LÄN</t>
        </is>
      </c>
      <c r="G115" t="inlineStr">
        <is>
          <t>SVENLJUNGA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46307</v>
      </c>
      <c r="F116" t="inlineStr">
        <is>
          <t>VÄSTRA GÖTALANDS LÄN</t>
        </is>
      </c>
      <c r="G116" t="inlineStr">
        <is>
          <t>SVENLJUNGA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46307</v>
      </c>
      <c r="F117" t="inlineStr">
        <is>
          <t>VÄSTRA GÖTALANDS LÄN</t>
        </is>
      </c>
      <c r="G117" t="inlineStr">
        <is>
          <t>SVENLJUNGA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46307</v>
      </c>
      <c r="F118" t="inlineStr">
        <is>
          <t>VÄSTRA GÖTALANDS LÄN</t>
        </is>
      </c>
      <c r="G118" t="inlineStr">
        <is>
          <t>SVENLJUNGA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46307</v>
      </c>
      <c r="F119" t="inlineStr">
        <is>
          <t>VÄSTRA GÖTALANDS LÄN</t>
        </is>
      </c>
      <c r="G119" t="inlineStr">
        <is>
          <t>SVENLJUNGA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46307</v>
      </c>
      <c r="F120" t="inlineStr">
        <is>
          <t>VÄSTRA GÖTALANDS LÄN</t>
        </is>
      </c>
      <c r="G120" t="inlineStr">
        <is>
          <t>SVENLJUNGA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45250</v>
      </c>
      <c r="E121" s="1" t="n">
        <v>46307</v>
      </c>
      <c r="F121" t="inlineStr">
        <is>
          <t>VÄSTRA GÖTALANDS LÄN</t>
        </is>
      </c>
      <c r="G121" t="inlineStr">
        <is>
          <t>SVENLJUNGA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46307</v>
      </c>
      <c r="F122" t="inlineStr">
        <is>
          <t>VÄSTRA GÖTALANDS LÄN</t>
        </is>
      </c>
      <c r="G122" t="inlineStr">
        <is>
          <t>SVENLJUNGA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46307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45566</v>
      </c>
      <c r="E124" s="1" t="n">
        <v>46307</v>
      </c>
      <c r="F124" t="inlineStr">
        <is>
          <t>VÄSTRA GÖTALANDS LÄN</t>
        </is>
      </c>
      <c r="G124" t="inlineStr">
        <is>
          <t>SVENLJUNGA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46307</v>
      </c>
      <c r="F125" t="inlineStr">
        <is>
          <t>VÄSTRA GÖTALANDS LÄN</t>
        </is>
      </c>
      <c r="G125" t="inlineStr">
        <is>
          <t>SVENLJUNGA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46307</v>
      </c>
      <c r="F126" t="inlineStr">
        <is>
          <t>VÄSTRA GÖTALANDS LÄN</t>
        </is>
      </c>
      <c r="G126" t="inlineStr">
        <is>
          <t>SVENLJUNGA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46307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46307</v>
      </c>
      <c r="F128" t="inlineStr">
        <is>
          <t>VÄSTRA GÖTALANDS LÄN</t>
        </is>
      </c>
      <c r="G128" t="inlineStr">
        <is>
          <t>SVENLJUNGA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46307</v>
      </c>
      <c r="F129" t="inlineStr">
        <is>
          <t>VÄSTRA GÖTALANDS LÄN</t>
        </is>
      </c>
      <c r="G129" t="inlineStr">
        <is>
          <t>SVENLJUNGA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46307</v>
      </c>
      <c r="F130" t="inlineStr">
        <is>
          <t>VÄSTRA GÖTALANDS LÄN</t>
        </is>
      </c>
      <c r="G130" t="inlineStr">
        <is>
          <t>SVENLJUNGA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46307</v>
      </c>
      <c r="F131" t="inlineStr">
        <is>
          <t>VÄSTRA GÖTALANDS LÄN</t>
        </is>
      </c>
      <c r="G131" t="inlineStr">
        <is>
          <t>SVENLJUNGA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46307</v>
      </c>
      <c r="F132" t="inlineStr">
        <is>
          <t>VÄSTRA GÖTALANDS LÄN</t>
        </is>
      </c>
      <c r="G132" t="inlineStr">
        <is>
          <t>SVENLJUNGA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46307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57904-2021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44486</v>
      </c>
      <c r="E134" s="1" t="n">
        <v>46307</v>
      </c>
      <c r="F134" t="inlineStr">
        <is>
          <t>VÄSTRA GÖTALANDS LÄN</t>
        </is>
      </c>
      <c r="G134" t="inlineStr">
        <is>
          <t>SVENLJUNGA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46307</v>
      </c>
      <c r="F135" t="inlineStr">
        <is>
          <t>VÄSTRA GÖTALANDS LÄN</t>
        </is>
      </c>
      <c r="G135" t="inlineStr">
        <is>
          <t>SVENLJUNGA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65961-2021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44517</v>
      </c>
      <c r="E136" s="1" t="n">
        <v>46307</v>
      </c>
      <c r="F136" t="inlineStr">
        <is>
          <t>VÄSTRA GÖTALANDS LÄN</t>
        </is>
      </c>
      <c r="G136" t="inlineStr">
        <is>
          <t>SVENLJUNGA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45726</v>
      </c>
      <c r="E137" s="1" t="n">
        <v>46307</v>
      </c>
      <c r="F137" t="inlineStr">
        <is>
          <t>VÄSTRA GÖTALANDS LÄN</t>
        </is>
      </c>
      <c r="G137" t="inlineStr">
        <is>
          <t>SVENLJUNGA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46307</v>
      </c>
      <c r="F138" t="inlineStr">
        <is>
          <t>VÄSTRA GÖTALANDS LÄN</t>
        </is>
      </c>
      <c r="G138" t="inlineStr">
        <is>
          <t>SVENLJUNGA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46307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46307</v>
      </c>
      <c r="F140" t="inlineStr">
        <is>
          <t>VÄSTRA GÖTALANDS LÄN</t>
        </is>
      </c>
      <c r="G140" t="inlineStr">
        <is>
          <t>SVENLJUNGA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46307</v>
      </c>
      <c r="F141" t="inlineStr">
        <is>
          <t>VÄSTRA GÖTALANDS LÄN</t>
        </is>
      </c>
      <c r="G141" t="inlineStr">
        <is>
          <t>SVENLJUNGA</t>
        </is>
      </c>
      <c r="I141" t="n">
        <v>18.8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46307</v>
      </c>
      <c r="F142" t="inlineStr">
        <is>
          <t>VÄSTRA GÖTALANDS LÄN</t>
        </is>
      </c>
      <c r="G142" t="inlineStr">
        <is>
          <t>SVENLJUNGA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46307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11410-2024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45372</v>
      </c>
      <c r="E144" s="1" t="n">
        <v>46307</v>
      </c>
      <c r="F144" t="inlineStr">
        <is>
          <t>VÄSTRA GÖTALANDS LÄN</t>
        </is>
      </c>
      <c r="G144" t="inlineStr">
        <is>
          <t>SVENLJUNGA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46307</v>
      </c>
      <c r="F145" t="inlineStr">
        <is>
          <t>VÄSTRA GÖTALANDS LÄN</t>
        </is>
      </c>
      <c r="G145" t="inlineStr">
        <is>
          <t>SVENLJUNGA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46307</v>
      </c>
      <c r="F146" t="inlineStr">
        <is>
          <t>VÄSTRA GÖTALANDS LÄN</t>
        </is>
      </c>
      <c r="G146" t="inlineStr">
        <is>
          <t>SVENLJUNGA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57855-2022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44898</v>
      </c>
      <c r="E147" s="1" t="n">
        <v>46307</v>
      </c>
      <c r="F147" t="inlineStr">
        <is>
          <t>VÄSTRA GÖTALANDS LÄN</t>
        </is>
      </c>
      <c r="G147" t="inlineStr">
        <is>
          <t>SVENLJUNGA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46307</v>
      </c>
      <c r="F148" t="inlineStr">
        <is>
          <t>VÄSTRA GÖTALANDS LÄN</t>
        </is>
      </c>
      <c r="G148" t="inlineStr">
        <is>
          <t>SVENLJUNGA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45113</v>
      </c>
      <c r="E149" s="1" t="n">
        <v>46307</v>
      </c>
      <c r="F149" t="inlineStr">
        <is>
          <t>VÄSTRA GÖTALANDS LÄN</t>
        </is>
      </c>
      <c r="G149" t="inlineStr">
        <is>
          <t>SVENLJUNGA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45609</v>
      </c>
      <c r="E150" s="1" t="n">
        <v>46307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45433</v>
      </c>
      <c r="E151" s="1" t="n">
        <v>46307</v>
      </c>
      <c r="F151" t="inlineStr">
        <is>
          <t>VÄSTRA GÖTALANDS LÄN</t>
        </is>
      </c>
      <c r="G151" t="inlineStr">
        <is>
          <t>SVENLJUNGA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46307</v>
      </c>
      <c r="F152" t="inlineStr">
        <is>
          <t>VÄSTRA GÖTALANDS LÄN</t>
        </is>
      </c>
      <c r="G152" t="inlineStr">
        <is>
          <t>SVENLJUNGA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46307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58389-2022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44901</v>
      </c>
      <c r="E154" s="1" t="n">
        <v>46307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46307</v>
      </c>
      <c r="F155" t="inlineStr">
        <is>
          <t>VÄSTRA GÖTALANDS LÄN</t>
        </is>
      </c>
      <c r="G155" t="inlineStr">
        <is>
          <t>SVENLJUNGA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45210</v>
      </c>
      <c r="E156" s="1" t="n">
        <v>46307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46307</v>
      </c>
      <c r="F157" t="inlineStr">
        <is>
          <t>VÄSTRA GÖTALANDS LÄN</t>
        </is>
      </c>
      <c r="G157" t="inlineStr">
        <is>
          <t>SVENLJUNGA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45322</v>
      </c>
      <c r="E158" s="1" t="n">
        <v>46307</v>
      </c>
      <c r="F158" t="inlineStr">
        <is>
          <t>VÄSTRA GÖTALANDS LÄN</t>
        </is>
      </c>
      <c r="G158" t="inlineStr">
        <is>
          <t>SVENLJUNGA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46307</v>
      </c>
      <c r="F159" t="inlineStr">
        <is>
          <t>VÄSTRA GÖTALANDS LÄN</t>
        </is>
      </c>
      <c r="G159" t="inlineStr">
        <is>
          <t>SVENLJUNGA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46307</v>
      </c>
      <c r="F160" t="inlineStr">
        <is>
          <t>VÄSTRA GÖTALANDS LÄN</t>
        </is>
      </c>
      <c r="G160" t="inlineStr">
        <is>
          <t>SVENLJUNGA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44806</v>
      </c>
      <c r="E161" s="1" t="n">
        <v>46307</v>
      </c>
      <c r="F161" t="inlineStr">
        <is>
          <t>VÄSTRA GÖTALANDS LÄN</t>
        </is>
      </c>
      <c r="G161" t="inlineStr">
        <is>
          <t>SVENLJUNGA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46307</v>
      </c>
      <c r="F162" t="inlineStr">
        <is>
          <t>VÄSTRA GÖTALANDS LÄN</t>
        </is>
      </c>
      <c r="G162" t="inlineStr">
        <is>
          <t>SVENLJUNGA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46307</v>
      </c>
      <c r="F163" t="inlineStr">
        <is>
          <t>VÄSTRA GÖTALANDS LÄN</t>
        </is>
      </c>
      <c r="G163" t="inlineStr">
        <is>
          <t>SVENLJUNGA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21259-2023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45062</v>
      </c>
      <c r="E164" s="1" t="n">
        <v>46307</v>
      </c>
      <c r="F164" t="inlineStr">
        <is>
          <t>VÄSTRA GÖTALANDS LÄN</t>
        </is>
      </c>
      <c r="G164" t="inlineStr">
        <is>
          <t>SVENLJUNGA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46307</v>
      </c>
      <c r="F165" t="inlineStr">
        <is>
          <t>VÄSTRA GÖTALANDS LÄN</t>
        </is>
      </c>
      <c r="G165" t="inlineStr">
        <is>
          <t>SVENLJUNGA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46307</v>
      </c>
      <c r="F166" t="inlineStr">
        <is>
          <t>VÄSTRA GÖTALANDS LÄN</t>
        </is>
      </c>
      <c r="G166" t="inlineStr">
        <is>
          <t>SVENLJUNGA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66109-2021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44517</v>
      </c>
      <c r="E167" s="1" t="n">
        <v>46307</v>
      </c>
      <c r="F167" t="inlineStr">
        <is>
          <t>VÄSTRA GÖTALANDS LÄN</t>
        </is>
      </c>
      <c r="G167" t="inlineStr">
        <is>
          <t>SVENLJUNGA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46307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45002</v>
      </c>
      <c r="E169" s="1" t="n">
        <v>46307</v>
      </c>
      <c r="F169" t="inlineStr">
        <is>
          <t>VÄSTRA GÖTALANDS LÄN</t>
        </is>
      </c>
      <c r="G169" t="inlineStr">
        <is>
          <t>SVENLJUNGA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46307</v>
      </c>
      <c r="F170" t="inlineStr">
        <is>
          <t>VÄSTRA GÖTALANDS LÄN</t>
        </is>
      </c>
      <c r="G170" t="inlineStr">
        <is>
          <t>SVENLJUNGA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46307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46307</v>
      </c>
      <c r="F172" t="inlineStr">
        <is>
          <t>VÄSTRA GÖTALANDS LÄN</t>
        </is>
      </c>
      <c r="G172" t="inlineStr">
        <is>
          <t>SVENLJUNGA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45111</v>
      </c>
      <c r="E173" s="1" t="n">
        <v>46307</v>
      </c>
      <c r="F173" t="inlineStr">
        <is>
          <t>VÄSTRA GÖTALANDS LÄN</t>
        </is>
      </c>
      <c r="G173" t="inlineStr">
        <is>
          <t>SVENLJUNGA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46307</v>
      </c>
      <c r="F174" t="inlineStr">
        <is>
          <t>VÄSTRA GÖTALANDS LÄN</t>
        </is>
      </c>
      <c r="G174" t="inlineStr">
        <is>
          <t>SVENLJUNGA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63556-2023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45275</v>
      </c>
      <c r="E175" s="1" t="n">
        <v>46307</v>
      </c>
      <c r="F175" t="inlineStr">
        <is>
          <t>VÄSTRA GÖTALANDS LÄN</t>
        </is>
      </c>
      <c r="G175" t="inlineStr">
        <is>
          <t>SVENLJUNGA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46307</v>
      </c>
      <c r="F176" t="inlineStr">
        <is>
          <t>VÄSTRA GÖTALANDS LÄN</t>
        </is>
      </c>
      <c r="G176" t="inlineStr">
        <is>
          <t>SVENLJUNGA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52408-2024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45609</v>
      </c>
      <c r="E177" s="1" t="n">
        <v>46307</v>
      </c>
      <c r="F177" t="inlineStr">
        <is>
          <t>VÄSTRA GÖTALANDS LÄN</t>
        </is>
      </c>
      <c r="G177" t="inlineStr">
        <is>
          <t>SVENLJUNGA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46307</v>
      </c>
      <c r="F178" t="inlineStr">
        <is>
          <t>VÄSTRA GÖTALANDS LÄN</t>
        </is>
      </c>
      <c r="G178" t="inlineStr">
        <is>
          <t>SVENLJUNGA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46307</v>
      </c>
      <c r="F179" t="inlineStr">
        <is>
          <t>VÄSTRA GÖTALANDS LÄN</t>
        </is>
      </c>
      <c r="G179" t="inlineStr">
        <is>
          <t>SVENLJUNGA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46307</v>
      </c>
      <c r="F180" t="inlineStr">
        <is>
          <t>VÄSTRA GÖTALANDS LÄN</t>
        </is>
      </c>
      <c r="G180" t="inlineStr">
        <is>
          <t>SVENLJUNGA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46307</v>
      </c>
      <c r="F181" t="inlineStr">
        <is>
          <t>VÄSTRA GÖTALANDS LÄN</t>
        </is>
      </c>
      <c r="G181" t="inlineStr">
        <is>
          <t>SVENLJUNGA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46307</v>
      </c>
      <c r="F182" t="inlineStr">
        <is>
          <t>VÄSTRA GÖTALANDS LÄN</t>
        </is>
      </c>
      <c r="G182" t="inlineStr">
        <is>
          <t>SVENLJUNGA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46307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46307</v>
      </c>
      <c r="F184" t="inlineStr">
        <is>
          <t>VÄSTRA GÖTALANDS LÄN</t>
        </is>
      </c>
      <c r="G184" t="inlineStr">
        <is>
          <t>SVENLJUNGA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46307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46307</v>
      </c>
      <c r="F186" t="inlineStr">
        <is>
          <t>VÄSTRA GÖTALANDS LÄN</t>
        </is>
      </c>
      <c r="G186" t="inlineStr">
        <is>
          <t>SVENLJUNGA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46307</v>
      </c>
      <c r="F187" t="inlineStr">
        <is>
          <t>VÄSTRA GÖTALANDS LÄN</t>
        </is>
      </c>
      <c r="G187" t="inlineStr">
        <is>
          <t>SVENLJUNGA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44872</v>
      </c>
      <c r="E188" s="1" t="n">
        <v>46307</v>
      </c>
      <c r="F188" t="inlineStr">
        <is>
          <t>VÄSTRA GÖTALANDS LÄN</t>
        </is>
      </c>
      <c r="G188" t="inlineStr">
        <is>
          <t>SVENLJUNGA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46307</v>
      </c>
      <c r="F189" t="inlineStr">
        <is>
          <t>VÄSTRA GÖTALANDS LÄN</t>
        </is>
      </c>
      <c r="G189" t="inlineStr">
        <is>
          <t>SVENLJUNGA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46307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46307</v>
      </c>
      <c r="F191" t="inlineStr">
        <is>
          <t>VÄSTRA GÖTALANDS LÄN</t>
        </is>
      </c>
      <c r="G191" t="inlineStr">
        <is>
          <t>SVENLJUNGA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46307</v>
      </c>
      <c r="F192" t="inlineStr">
        <is>
          <t>VÄSTRA GÖTALANDS LÄN</t>
        </is>
      </c>
      <c r="G192" t="inlineStr">
        <is>
          <t>SVENLJUNGA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46307</v>
      </c>
      <c r="F193" t="inlineStr">
        <is>
          <t>VÄSTRA GÖTALANDS LÄN</t>
        </is>
      </c>
      <c r="G193" t="inlineStr">
        <is>
          <t>SVENLJUNGA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46307</v>
      </c>
      <c r="F194" t="inlineStr">
        <is>
          <t>VÄSTRA GÖTALANDS LÄN</t>
        </is>
      </c>
      <c r="G194" t="inlineStr">
        <is>
          <t>SVENLJUNGA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44579</v>
      </c>
      <c r="E195" s="1" t="n">
        <v>46307</v>
      </c>
      <c r="F195" t="inlineStr">
        <is>
          <t>VÄSTRA GÖTALANDS LÄN</t>
        </is>
      </c>
      <c r="G195" t="inlineStr">
        <is>
          <t>SVENLJUNGA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7607-2025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45705</v>
      </c>
      <c r="E196" s="1" t="n">
        <v>46307</v>
      </c>
      <c r="F196" t="inlineStr">
        <is>
          <t>VÄSTRA GÖTALANDS LÄN</t>
        </is>
      </c>
      <c r="G196" t="inlineStr">
        <is>
          <t>SVENLJUNGA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46307</v>
      </c>
      <c r="F197" t="inlineStr">
        <is>
          <t>VÄSTRA GÖTALANDS LÄN</t>
        </is>
      </c>
      <c r="G197" t="inlineStr">
        <is>
          <t>SVENLJUNGA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46307</v>
      </c>
      <c r="F198" t="inlineStr">
        <is>
          <t>VÄSTRA GÖTALANDS LÄN</t>
        </is>
      </c>
      <c r="G198" t="inlineStr">
        <is>
          <t>SVENLJUNGA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46307</v>
      </c>
      <c r="F199" t="inlineStr">
        <is>
          <t>VÄSTRA GÖTALANDS LÄN</t>
        </is>
      </c>
      <c r="G199" t="inlineStr">
        <is>
          <t>SVENLJUNGA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46307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46307</v>
      </c>
      <c r="F201" t="inlineStr">
        <is>
          <t>VÄSTRA GÖTALANDS LÄN</t>
        </is>
      </c>
      <c r="G201" t="inlineStr">
        <is>
          <t>SVENLJUNGA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46307</v>
      </c>
      <c r="F202" t="inlineStr">
        <is>
          <t>VÄSTRA GÖTALANDS LÄN</t>
        </is>
      </c>
      <c r="G202" t="inlineStr">
        <is>
          <t>SVENLJUNGA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46307</v>
      </c>
      <c r="F203" t="inlineStr">
        <is>
          <t>VÄSTRA GÖTALANDS LÄN</t>
        </is>
      </c>
      <c r="G203" t="inlineStr">
        <is>
          <t>SVENLJUNGA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46307</v>
      </c>
      <c r="F204" t="inlineStr">
        <is>
          <t>VÄSTRA GÖTALANDS LÄN</t>
        </is>
      </c>
      <c r="G204" t="inlineStr">
        <is>
          <t>SVENLJUNGA</t>
        </is>
      </c>
      <c r="I204" t="n">
        <v>9.9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46307</v>
      </c>
      <c r="F205" t="inlineStr">
        <is>
          <t>VÄSTRA GÖTALANDS LÄN</t>
        </is>
      </c>
      <c r="G205" t="inlineStr">
        <is>
          <t>SVENLJUNGA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46307</v>
      </c>
      <c r="F206" t="inlineStr">
        <is>
          <t>VÄSTRA GÖTALANDS LÄN</t>
        </is>
      </c>
      <c r="G206" t="inlineStr">
        <is>
          <t>SVENLJUNGA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45523</v>
      </c>
      <c r="E207" s="1" t="n">
        <v>46307</v>
      </c>
      <c r="F207" t="inlineStr">
        <is>
          <t>VÄSTRA GÖTALANDS LÄN</t>
        </is>
      </c>
      <c r="G207" t="inlineStr">
        <is>
          <t>SVENLJUNGA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44614</v>
      </c>
      <c r="E208" s="1" t="n">
        <v>46307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46307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46307</v>
      </c>
      <c r="F210" t="inlineStr">
        <is>
          <t>VÄSTRA GÖTALANDS LÄN</t>
        </is>
      </c>
      <c r="G210" t="inlineStr">
        <is>
          <t>SVENLJUNGA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45784</v>
      </c>
      <c r="E211" s="1" t="n">
        <v>46307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45354</v>
      </c>
      <c r="E212" s="1" t="n">
        <v>46307</v>
      </c>
      <c r="F212" t="inlineStr">
        <is>
          <t>VÄSTRA GÖTALANDS LÄN</t>
        </is>
      </c>
      <c r="G212" t="inlineStr">
        <is>
          <t>SVENLJUNGA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45918</v>
      </c>
      <c r="E213" s="1" t="n">
        <v>46307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46307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46307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46307</v>
      </c>
      <c r="F216" t="inlineStr">
        <is>
          <t>VÄSTRA GÖTALANDS LÄN</t>
        </is>
      </c>
      <c r="G216" t="inlineStr">
        <is>
          <t>SVENLJUNGA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45370</v>
      </c>
      <c r="E217" s="1" t="n">
        <v>46307</v>
      </c>
      <c r="F217" t="inlineStr">
        <is>
          <t>VÄSTRA GÖTALANDS LÄN</t>
        </is>
      </c>
      <c r="G217" t="inlineStr">
        <is>
          <t>SVENLJUNGA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46307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45086</v>
      </c>
      <c r="E219" s="1" t="n">
        <v>46307</v>
      </c>
      <c r="F219" t="inlineStr">
        <is>
          <t>VÄSTRA GÖTALANDS LÄN</t>
        </is>
      </c>
      <c r="G219" t="inlineStr">
        <is>
          <t>SVENLJUNGA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45585</v>
      </c>
      <c r="E220" s="1" t="n">
        <v>46307</v>
      </c>
      <c r="F220" t="inlineStr">
        <is>
          <t>VÄSTRA GÖTALANDS LÄN</t>
        </is>
      </c>
      <c r="G220" t="inlineStr">
        <is>
          <t>SVENLJUNGA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45588</v>
      </c>
      <c r="E221" s="1" t="n">
        <v>46307</v>
      </c>
      <c r="F221" t="inlineStr">
        <is>
          <t>VÄSTRA GÖTALANDS LÄN</t>
        </is>
      </c>
      <c r="G221" t="inlineStr">
        <is>
          <t>SVENLJUNGA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45191</v>
      </c>
      <c r="E222" s="1" t="n">
        <v>46307</v>
      </c>
      <c r="F222" t="inlineStr">
        <is>
          <t>VÄSTRA GÖTALANDS LÄN</t>
        </is>
      </c>
      <c r="G222" t="inlineStr">
        <is>
          <t>SVENLJUNGA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46307</v>
      </c>
      <c r="F223" t="inlineStr">
        <is>
          <t>VÄSTRA GÖTALANDS LÄN</t>
        </is>
      </c>
      <c r="G223" t="inlineStr">
        <is>
          <t>SVENLJUNGA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32748-2024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46307</v>
      </c>
      <c r="F224" t="inlineStr">
        <is>
          <t>VÄSTRA GÖTALANDS LÄN</t>
        </is>
      </c>
      <c r="G224" t="inlineStr">
        <is>
          <t>SVENLJUNGA</t>
        </is>
      </c>
      <c r="H224" t="inlineStr">
        <is>
          <t>Kommuner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12785-2024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45384</v>
      </c>
      <c r="E225" s="1" t="n">
        <v>46307</v>
      </c>
      <c r="F225" t="inlineStr">
        <is>
          <t>VÄSTRA GÖTALANDS LÄN</t>
        </is>
      </c>
      <c r="G225" t="inlineStr">
        <is>
          <t>SVENLJUNGA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46307</v>
      </c>
      <c r="F226" t="inlineStr">
        <is>
          <t>VÄSTRA GÖTALANDS LÄN</t>
        </is>
      </c>
      <c r="G226" t="inlineStr">
        <is>
          <t>SVENLJUNGA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46307</v>
      </c>
      <c r="F227" t="inlineStr">
        <is>
          <t>VÄSTRA GÖTALANDS LÄN</t>
        </is>
      </c>
      <c r="G227" t="inlineStr">
        <is>
          <t>SVENLJUNGA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45544</v>
      </c>
      <c r="E228" s="1" t="n">
        <v>46307</v>
      </c>
      <c r="F228" t="inlineStr">
        <is>
          <t>VÄSTRA GÖTALANDS LÄN</t>
        </is>
      </c>
      <c r="G228" t="inlineStr">
        <is>
          <t>SVENLJUNGA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46307</v>
      </c>
      <c r="F229" t="inlineStr">
        <is>
          <t>VÄSTRA GÖTALANDS LÄN</t>
        </is>
      </c>
      <c r="G229" t="inlineStr">
        <is>
          <t>SVENLJUNGA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46307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46307</v>
      </c>
      <c r="F231" t="inlineStr">
        <is>
          <t>VÄSTRA GÖTALANDS LÄN</t>
        </is>
      </c>
      <c r="G231" t="inlineStr">
        <is>
          <t>SVENLJUNGA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46307</v>
      </c>
      <c r="F232" t="inlineStr">
        <is>
          <t>VÄSTRA GÖTALANDS LÄN</t>
        </is>
      </c>
      <c r="G232" t="inlineStr">
        <is>
          <t>SVENLJUNGA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45560</v>
      </c>
      <c r="E233" s="1" t="n">
        <v>46307</v>
      </c>
      <c r="F233" t="inlineStr">
        <is>
          <t>VÄSTRA GÖTALANDS LÄN</t>
        </is>
      </c>
      <c r="G233" t="inlineStr">
        <is>
          <t>SVENLJUNGA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46307</v>
      </c>
      <c r="F234" t="inlineStr">
        <is>
          <t>VÄSTRA GÖTALANDS LÄN</t>
        </is>
      </c>
      <c r="G234" t="inlineStr">
        <is>
          <t>SVENLJUNGA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45021</v>
      </c>
      <c r="E235" s="1" t="n">
        <v>46307</v>
      </c>
      <c r="F235" t="inlineStr">
        <is>
          <t>VÄSTRA GÖTALANDS LÄN</t>
        </is>
      </c>
      <c r="G235" t="inlineStr">
        <is>
          <t>SVENLJUNGA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44806</v>
      </c>
      <c r="E236" s="1" t="n">
        <v>46307</v>
      </c>
      <c r="F236" t="inlineStr">
        <is>
          <t>VÄSTRA GÖTALANDS LÄN</t>
        </is>
      </c>
      <c r="G236" t="inlineStr">
        <is>
          <t>SVENLJUNGA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46307</v>
      </c>
      <c r="F237" t="inlineStr">
        <is>
          <t>VÄSTRA GÖTALANDS LÄN</t>
        </is>
      </c>
      <c r="G237" t="inlineStr">
        <is>
          <t>SVENLJUNGA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46307</v>
      </c>
      <c r="F238" t="inlineStr">
        <is>
          <t>VÄSTRA GÖTALANDS LÄN</t>
        </is>
      </c>
      <c r="G238" t="inlineStr">
        <is>
          <t>SVENLJUNGA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45509</v>
      </c>
      <c r="E239" s="1" t="n">
        <v>46307</v>
      </c>
      <c r="F239" t="inlineStr">
        <is>
          <t>VÄSTRA GÖTALANDS LÄN</t>
        </is>
      </c>
      <c r="G239" t="inlineStr">
        <is>
          <t>SVENLJUNGA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45432</v>
      </c>
      <c r="E240" s="1" t="n">
        <v>46307</v>
      </c>
      <c r="F240" t="inlineStr">
        <is>
          <t>VÄSTRA GÖTALANDS LÄN</t>
        </is>
      </c>
      <c r="G240" t="inlineStr">
        <is>
          <t>SVENLJUNGA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46307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46307</v>
      </c>
      <c r="F242" t="inlineStr">
        <is>
          <t>VÄSTRA GÖTALANDS LÄN</t>
        </is>
      </c>
      <c r="G242" t="inlineStr">
        <is>
          <t>SVENLJUNGA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46307</v>
      </c>
      <c r="F243" t="inlineStr">
        <is>
          <t>VÄSTRA GÖTALANDS LÄN</t>
        </is>
      </c>
      <c r="G243" t="inlineStr">
        <is>
          <t>SVENLJUNGA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44942</v>
      </c>
      <c r="E244" s="1" t="n">
        <v>46307</v>
      </c>
      <c r="F244" t="inlineStr">
        <is>
          <t>VÄSTRA GÖTALANDS LÄN</t>
        </is>
      </c>
      <c r="G244" t="inlineStr">
        <is>
          <t>SVENLJUNGA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45559</v>
      </c>
      <c r="E245" s="1" t="n">
        <v>46307</v>
      </c>
      <c r="F245" t="inlineStr">
        <is>
          <t>VÄSTRA GÖTALANDS LÄN</t>
        </is>
      </c>
      <c r="G245" t="inlineStr">
        <is>
          <t>SVENLJUNGA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46307</v>
      </c>
      <c r="F246" t="inlineStr">
        <is>
          <t>VÄSTRA GÖTALANDS LÄN</t>
        </is>
      </c>
      <c r="G246" t="inlineStr">
        <is>
          <t>SVENLJUNGA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46307</v>
      </c>
      <c r="F247" t="inlineStr">
        <is>
          <t>VÄSTRA GÖTALANDS LÄN</t>
        </is>
      </c>
      <c r="G247" t="inlineStr">
        <is>
          <t>SVENLJUNGA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45688</v>
      </c>
      <c r="E248" s="1" t="n">
        <v>46307</v>
      </c>
      <c r="F248" t="inlineStr">
        <is>
          <t>VÄSTRA GÖTALANDS LÄN</t>
        </is>
      </c>
      <c r="G248" t="inlineStr">
        <is>
          <t>SVENLJUNGA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46307</v>
      </c>
      <c r="F249" t="inlineStr">
        <is>
          <t>VÄSTRA GÖTALANDS LÄN</t>
        </is>
      </c>
      <c r="G249" t="inlineStr">
        <is>
          <t>SVENLJUNGA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45160</v>
      </c>
      <c r="E250" s="1" t="n">
        <v>46307</v>
      </c>
      <c r="F250" t="inlineStr">
        <is>
          <t>VÄSTRA GÖTALANDS LÄN</t>
        </is>
      </c>
      <c r="G250" t="inlineStr">
        <is>
          <t>SVENLJUNGA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46307</v>
      </c>
      <c r="F251" t="inlineStr">
        <is>
          <t>VÄSTRA GÖTALANDS LÄN</t>
        </is>
      </c>
      <c r="G251" t="inlineStr">
        <is>
          <t>SVENLJUNGA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46307</v>
      </c>
      <c r="F252" t="inlineStr">
        <is>
          <t>VÄSTRA GÖTALANDS LÄN</t>
        </is>
      </c>
      <c r="G252" t="inlineStr">
        <is>
          <t>SVENLJUNGA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46307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46307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46307</v>
      </c>
      <c r="F255" t="inlineStr">
        <is>
          <t>VÄSTRA GÖTALANDS LÄN</t>
        </is>
      </c>
      <c r="G255" t="inlineStr">
        <is>
          <t>SVENLJUNGA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46307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46307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46307</v>
      </c>
      <c r="F258" t="inlineStr">
        <is>
          <t>VÄSTRA GÖTALANDS LÄN</t>
        </is>
      </c>
      <c r="G258" t="inlineStr">
        <is>
          <t>SVENLJUNGA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46307</v>
      </c>
      <c r="F259" t="inlineStr">
        <is>
          <t>VÄSTRA GÖTALANDS LÄN</t>
        </is>
      </c>
      <c r="G259" t="inlineStr">
        <is>
          <t>SVENLJUNGA</t>
        </is>
      </c>
      <c r="I259" t="n">
        <v>12.2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44603</v>
      </c>
      <c r="E260" s="1" t="n">
        <v>46307</v>
      </c>
      <c r="F260" t="inlineStr">
        <is>
          <t>VÄSTRA GÖTALANDS LÄN</t>
        </is>
      </c>
      <c r="G260" t="inlineStr">
        <is>
          <t>SVENLJUNGA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46307</v>
      </c>
      <c r="F261" t="inlineStr">
        <is>
          <t>VÄSTRA GÖTALANDS LÄN</t>
        </is>
      </c>
      <c r="G261" t="inlineStr">
        <is>
          <t>SVENLJUNGA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46307</v>
      </c>
      <c r="F262" t="inlineStr">
        <is>
          <t>VÄSTRA GÖTALANDS LÄN</t>
        </is>
      </c>
      <c r="G262" t="inlineStr">
        <is>
          <t>SVENLJUNGA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46307</v>
      </c>
      <c r="F263" t="inlineStr">
        <is>
          <t>VÄSTRA GÖTALANDS LÄN</t>
        </is>
      </c>
      <c r="G263" t="inlineStr">
        <is>
          <t>SVENLJUNGA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46307</v>
      </c>
      <c r="F264" t="inlineStr">
        <is>
          <t>VÄSTRA GÖTALANDS LÄN</t>
        </is>
      </c>
      <c r="G264" t="inlineStr">
        <is>
          <t>SVENLJUNGA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46307</v>
      </c>
      <c r="F265" t="inlineStr">
        <is>
          <t>VÄSTRA GÖTALANDS LÄN</t>
        </is>
      </c>
      <c r="G265" t="inlineStr">
        <is>
          <t>SVENLJUNGA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46307</v>
      </c>
      <c r="F266" t="inlineStr">
        <is>
          <t>VÄSTRA GÖTALANDS LÄN</t>
        </is>
      </c>
      <c r="G266" t="inlineStr">
        <is>
          <t>SVENLJUNGA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46307</v>
      </c>
      <c r="F267" t="inlineStr">
        <is>
          <t>VÄSTRA GÖTALANDS LÄN</t>
        </is>
      </c>
      <c r="G267" t="inlineStr">
        <is>
          <t>SVENLJUNGA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46307</v>
      </c>
      <c r="F268" t="inlineStr">
        <is>
          <t>VÄSTRA GÖTALANDS LÄN</t>
        </is>
      </c>
      <c r="G268" t="inlineStr">
        <is>
          <t>SVENLJUNGA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46307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44754</v>
      </c>
      <c r="E270" s="1" t="n">
        <v>46307</v>
      </c>
      <c r="F270" t="inlineStr">
        <is>
          <t>VÄSTRA GÖTALANDS LÄN</t>
        </is>
      </c>
      <c r="G270" t="inlineStr">
        <is>
          <t>SVENLJUNGA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46307</v>
      </c>
      <c r="F271" t="inlineStr">
        <is>
          <t>VÄSTRA GÖTALANDS LÄN</t>
        </is>
      </c>
      <c r="G271" t="inlineStr">
        <is>
          <t>SVENLJUNGA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52616-2024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45609</v>
      </c>
      <c r="E272" s="1" t="n">
        <v>46307</v>
      </c>
      <c r="F272" t="inlineStr">
        <is>
          <t>VÄSTRA GÖTALANDS LÄN</t>
        </is>
      </c>
      <c r="G272" t="inlineStr">
        <is>
          <t>SVENLJUNGA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46307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46307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46307</v>
      </c>
      <c r="F275" t="inlineStr">
        <is>
          <t>VÄSTRA GÖTALANDS LÄN</t>
        </is>
      </c>
      <c r="G275" t="inlineStr">
        <is>
          <t>SVENLJUNGA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46307</v>
      </c>
      <c r="F276" t="inlineStr">
        <is>
          <t>VÄSTRA GÖTALANDS LÄN</t>
        </is>
      </c>
      <c r="G276" t="inlineStr">
        <is>
          <t>SVENLJUNGA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46307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46307</v>
      </c>
      <c r="F278" t="inlineStr">
        <is>
          <t>VÄSTRA GÖTALANDS LÄN</t>
        </is>
      </c>
      <c r="G278" t="inlineStr">
        <is>
          <t>SVENLJUNGA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45810</v>
      </c>
      <c r="E279" s="1" t="n">
        <v>46307</v>
      </c>
      <c r="F279" t="inlineStr">
        <is>
          <t>VÄSTRA GÖTALANDS LÄN</t>
        </is>
      </c>
      <c r="G279" t="inlineStr">
        <is>
          <t>SVENLJUNGA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45362</v>
      </c>
      <c r="E280" s="1" t="n">
        <v>46307</v>
      </c>
      <c r="F280" t="inlineStr">
        <is>
          <t>VÄSTRA GÖTALANDS LÄN</t>
        </is>
      </c>
      <c r="G280" t="inlineStr">
        <is>
          <t>SVENLJUNGA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46307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45191</v>
      </c>
      <c r="E282" s="1" t="n">
        <v>46307</v>
      </c>
      <c r="F282" t="inlineStr">
        <is>
          <t>VÄSTRA GÖTALANDS LÄN</t>
        </is>
      </c>
      <c r="G282" t="inlineStr">
        <is>
          <t>SVENLJUNGA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46307</v>
      </c>
      <c r="F283" t="inlineStr">
        <is>
          <t>VÄSTRA GÖTALANDS LÄN</t>
        </is>
      </c>
      <c r="G283" t="inlineStr">
        <is>
          <t>SVENLJUNGA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45814</v>
      </c>
      <c r="E284" s="1" t="n">
        <v>46307</v>
      </c>
      <c r="F284" t="inlineStr">
        <is>
          <t>VÄSTRA GÖTALANDS LÄN</t>
        </is>
      </c>
      <c r="G284" t="inlineStr">
        <is>
          <t>SVENLJUNGA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46307</v>
      </c>
      <c r="F285" t="inlineStr">
        <is>
          <t>VÄSTRA GÖTALANDS LÄN</t>
        </is>
      </c>
      <c r="G285" t="inlineStr">
        <is>
          <t>SVENLJUNGA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45820</v>
      </c>
      <c r="E286" s="1" t="n">
        <v>46307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46307</v>
      </c>
      <c r="F287" t="inlineStr">
        <is>
          <t>VÄSTRA GÖTALANDS LÄN</t>
        </is>
      </c>
      <c r="G287" t="inlineStr">
        <is>
          <t>SVENLJUNGA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45098</v>
      </c>
      <c r="E288" s="1" t="n">
        <v>46307</v>
      </c>
      <c r="F288" t="inlineStr">
        <is>
          <t>VÄSTRA GÖTALANDS LÄN</t>
        </is>
      </c>
      <c r="G288" t="inlineStr">
        <is>
          <t>SVENLJUNGA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46307</v>
      </c>
      <c r="F289" t="inlineStr">
        <is>
          <t>VÄSTRA GÖTALANDS LÄN</t>
        </is>
      </c>
      <c r="G289" t="inlineStr">
        <is>
          <t>SVENLJUNGA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46307</v>
      </c>
      <c r="F290" t="inlineStr">
        <is>
          <t>VÄSTRA GÖTALANDS LÄN</t>
        </is>
      </c>
      <c r="G290" t="inlineStr">
        <is>
          <t>SVENLJUNGA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45376</v>
      </c>
      <c r="E291" s="1" t="n">
        <v>46307</v>
      </c>
      <c r="F291" t="inlineStr">
        <is>
          <t>VÄSTRA GÖTALANDS LÄN</t>
        </is>
      </c>
      <c r="G291" t="inlineStr">
        <is>
          <t>SVENLJUNGA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46307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46307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46307</v>
      </c>
      <c r="F294" t="inlineStr">
        <is>
          <t>VÄSTRA GÖTALANDS LÄN</t>
        </is>
      </c>
      <c r="G294" t="inlineStr">
        <is>
          <t>SVENLJUNGA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46307</v>
      </c>
      <c r="F295" t="inlineStr">
        <is>
          <t>VÄSTRA GÖTALANDS LÄN</t>
        </is>
      </c>
      <c r="G295" t="inlineStr">
        <is>
          <t>SVENLJUNGA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52375-2024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46307</v>
      </c>
      <c r="F296" t="inlineStr">
        <is>
          <t>VÄSTRA GÖTALANDS LÄN</t>
        </is>
      </c>
      <c r="G296" t="inlineStr">
        <is>
          <t>SVENLJUNGA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46307</v>
      </c>
      <c r="F297" t="inlineStr">
        <is>
          <t>VÄSTRA GÖTALANDS LÄN</t>
        </is>
      </c>
      <c r="G297" t="inlineStr">
        <is>
          <t>SVENLJUNGA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46307</v>
      </c>
      <c r="F298" t="inlineStr">
        <is>
          <t>VÄSTRA GÖTALANDS LÄN</t>
        </is>
      </c>
      <c r="G298" t="inlineStr">
        <is>
          <t>SVENLJUNGA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46307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46307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46307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46307</v>
      </c>
      <c r="F302" t="inlineStr">
        <is>
          <t>VÄSTRA GÖTALANDS LÄN</t>
        </is>
      </c>
      <c r="G302" t="inlineStr">
        <is>
          <t>SVENLJUNGA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45726</v>
      </c>
      <c r="E303" s="1" t="n">
        <v>46307</v>
      </c>
      <c r="F303" t="inlineStr">
        <is>
          <t>VÄSTRA GÖTALANDS LÄN</t>
        </is>
      </c>
      <c r="G303" t="inlineStr">
        <is>
          <t>SVENLJUNGA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30228-2025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46307</v>
      </c>
      <c r="F304" t="inlineStr">
        <is>
          <t>VÄSTRA GÖTALANDS LÄN</t>
        </is>
      </c>
      <c r="G304" t="inlineStr">
        <is>
          <t>SVENLJUNGA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46307</v>
      </c>
      <c r="F305" t="inlineStr">
        <is>
          <t>VÄSTRA GÖTALANDS LÄN</t>
        </is>
      </c>
      <c r="G305" t="inlineStr">
        <is>
          <t>SVENLJUNGA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57615-2022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46307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46307</v>
      </c>
      <c r="F307" t="inlineStr">
        <is>
          <t>VÄSTRA GÖTALANDS LÄN</t>
        </is>
      </c>
      <c r="G307" t="inlineStr">
        <is>
          <t>SVENLJUNGA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46307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52372-2025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46307</v>
      </c>
      <c r="F309" t="inlineStr">
        <is>
          <t>VÄSTRA GÖTALANDS LÄN</t>
        </is>
      </c>
      <c r="G309" t="inlineStr">
        <is>
          <t>SVENLJUNGA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46307</v>
      </c>
      <c r="F310" t="inlineStr">
        <is>
          <t>VÄSTRA GÖTALANDS LÄN</t>
        </is>
      </c>
      <c r="G310" t="inlineStr">
        <is>
          <t>SVENLJUNGA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46307</v>
      </c>
      <c r="F311" t="inlineStr">
        <is>
          <t>VÄSTRA GÖTALANDS LÄN</t>
        </is>
      </c>
      <c r="G311" t="inlineStr">
        <is>
          <t>SVENLJUNGA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46307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45056</v>
      </c>
      <c r="E313" s="1" t="n">
        <v>46307</v>
      </c>
      <c r="F313" t="inlineStr">
        <is>
          <t>VÄSTRA GÖTALANDS LÄN</t>
        </is>
      </c>
      <c r="G313" t="inlineStr">
        <is>
          <t>SVENLJUNGA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59739-2021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44494</v>
      </c>
      <c r="E314" s="1" t="n">
        <v>46307</v>
      </c>
      <c r="F314" t="inlineStr">
        <is>
          <t>VÄSTRA GÖTALANDS LÄN</t>
        </is>
      </c>
      <c r="G314" t="inlineStr">
        <is>
          <t>SVENLJUNGA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46307</v>
      </c>
      <c r="F315" t="inlineStr">
        <is>
          <t>VÄSTRA GÖTALANDS LÄN</t>
        </is>
      </c>
      <c r="G315" t="inlineStr">
        <is>
          <t>SVENLJUNGA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46307</v>
      </c>
      <c r="F316" t="inlineStr">
        <is>
          <t>VÄSTRA GÖTALANDS LÄN</t>
        </is>
      </c>
      <c r="G316" t="inlineStr">
        <is>
          <t>SVENLJUNGA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46307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45964</v>
      </c>
      <c r="E318" s="1" t="n">
        <v>46307</v>
      </c>
      <c r="F318" t="inlineStr">
        <is>
          <t>VÄSTRA GÖTALANDS LÄN</t>
        </is>
      </c>
      <c r="G318" t="inlineStr">
        <is>
          <t>SVENLJUNGA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46307</v>
      </c>
      <c r="F319" t="inlineStr">
        <is>
          <t>VÄSTRA GÖTALANDS LÄN</t>
        </is>
      </c>
      <c r="G319" t="inlineStr">
        <is>
          <t>SVENLJUNGA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45834</v>
      </c>
      <c r="E320" s="1" t="n">
        <v>46307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46307</v>
      </c>
      <c r="F321" t="inlineStr">
        <is>
          <t>VÄSTRA GÖTALANDS LÄN</t>
        </is>
      </c>
      <c r="G321" t="inlineStr">
        <is>
          <t>SVENLJUNGA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46307</v>
      </c>
      <c r="F322" t="inlineStr">
        <is>
          <t>VÄSTRA GÖTALANDS LÄN</t>
        </is>
      </c>
      <c r="G322" t="inlineStr">
        <is>
          <t>SVENLJUNGA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46307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46307</v>
      </c>
      <c r="F324" t="inlineStr">
        <is>
          <t>VÄSTRA GÖTALANDS LÄN</t>
        </is>
      </c>
      <c r="G324" t="inlineStr">
        <is>
          <t>SVENLJUNGA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46307</v>
      </c>
      <c r="F325" t="inlineStr">
        <is>
          <t>VÄSTRA GÖTALANDS LÄN</t>
        </is>
      </c>
      <c r="G325" t="inlineStr">
        <is>
          <t>SVENLJUNGA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46307</v>
      </c>
      <c r="F326" t="inlineStr">
        <is>
          <t>VÄSTRA GÖTALANDS LÄN</t>
        </is>
      </c>
      <c r="G326" t="inlineStr">
        <is>
          <t>SVENLJUNGA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46307</v>
      </c>
      <c r="F327" t="inlineStr">
        <is>
          <t>VÄSTRA GÖTALANDS LÄN</t>
        </is>
      </c>
      <c r="G327" t="inlineStr">
        <is>
          <t>SVENLJUNGA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46307</v>
      </c>
      <c r="F328" t="inlineStr">
        <is>
          <t>VÄSTRA GÖTALANDS LÄN</t>
        </is>
      </c>
      <c r="G328" t="inlineStr">
        <is>
          <t>SVENLJUNGA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46307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45785</v>
      </c>
      <c r="E330" s="1" t="n">
        <v>46307</v>
      </c>
      <c r="F330" t="inlineStr">
        <is>
          <t>VÄSTRA GÖTALANDS LÄN</t>
        </is>
      </c>
      <c r="G330" t="inlineStr">
        <is>
          <t>SVENLJUNGA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46307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46307</v>
      </c>
      <c r="F332" t="inlineStr">
        <is>
          <t>VÄSTRA GÖTALANDS LÄN</t>
        </is>
      </c>
      <c r="G332" t="inlineStr">
        <is>
          <t>SVENLJUNGA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46307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46307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46307</v>
      </c>
      <c r="F335" t="inlineStr">
        <is>
          <t>VÄSTRA GÖTALANDS LÄN</t>
        </is>
      </c>
      <c r="G335" t="inlineStr">
        <is>
          <t>SVENLJUNGA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45180</v>
      </c>
      <c r="E336" s="1" t="n">
        <v>46307</v>
      </c>
      <c r="F336" t="inlineStr">
        <is>
          <t>VÄSTRA GÖTALANDS LÄN</t>
        </is>
      </c>
      <c r="G336" t="inlineStr">
        <is>
          <t>SVENLJUNGA</t>
        </is>
      </c>
      <c r="I336" t="n">
        <v>17.5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46307</v>
      </c>
      <c r="F337" t="inlineStr">
        <is>
          <t>VÄSTRA GÖTALANDS LÄN</t>
        </is>
      </c>
      <c r="G337" t="inlineStr">
        <is>
          <t>SVENLJUNGA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46307</v>
      </c>
      <c r="F338" t="inlineStr">
        <is>
          <t>VÄSTRA GÖTALANDS LÄN</t>
        </is>
      </c>
      <c r="G338" t="inlineStr">
        <is>
          <t>SVENLJUNGA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45149</v>
      </c>
      <c r="E339" s="1" t="n">
        <v>46307</v>
      </c>
      <c r="F339" t="inlineStr">
        <is>
          <t>VÄSTRA GÖTALANDS LÄN</t>
        </is>
      </c>
      <c r="G339" t="inlineStr">
        <is>
          <t>SVENLJUNGA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46307</v>
      </c>
      <c r="F340" t="inlineStr">
        <is>
          <t>VÄSTRA GÖTALANDS LÄN</t>
        </is>
      </c>
      <c r="G340" t="inlineStr">
        <is>
          <t>SVENLJUNGA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45854</v>
      </c>
      <c r="E341" s="1" t="n">
        <v>46307</v>
      </c>
      <c r="F341" t="inlineStr">
        <is>
          <t>VÄSTRA GÖTALANDS LÄN</t>
        </is>
      </c>
      <c r="G341" t="inlineStr">
        <is>
          <t>SVENLJUNGA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45615</v>
      </c>
      <c r="E342" s="1" t="n">
        <v>46307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44797</v>
      </c>
      <c r="E343" s="1" t="n">
        <v>46307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46307</v>
      </c>
      <c r="F344" t="inlineStr">
        <is>
          <t>VÄSTRA GÖTALANDS LÄN</t>
        </is>
      </c>
      <c r="G344" t="inlineStr">
        <is>
          <t>SVENLJUNGA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33119-2022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44785</v>
      </c>
      <c r="E345" s="1" t="n">
        <v>46307</v>
      </c>
      <c r="F345" t="inlineStr">
        <is>
          <t>VÄSTRA GÖTALANDS LÄN</t>
        </is>
      </c>
      <c r="G345" t="inlineStr">
        <is>
          <t>SVENLJUNGA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46307</v>
      </c>
      <c r="F346" t="inlineStr">
        <is>
          <t>VÄSTRA GÖTALANDS LÄN</t>
        </is>
      </c>
      <c r="G346" t="inlineStr">
        <is>
          <t>SVENLJUNGA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46307</v>
      </c>
      <c r="F347" t="inlineStr">
        <is>
          <t>VÄSTRA GÖTALANDS LÄN</t>
        </is>
      </c>
      <c r="G347" t="inlineStr">
        <is>
          <t>SVENLJUNGA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46307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36405-2025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45868</v>
      </c>
      <c r="E349" s="1" t="n">
        <v>46307</v>
      </c>
      <c r="F349" t="inlineStr">
        <is>
          <t>VÄSTRA GÖTALANDS LÄN</t>
        </is>
      </c>
      <c r="G349" t="inlineStr">
        <is>
          <t>SVENLJUNGA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45867</v>
      </c>
      <c r="E350" s="1" t="n">
        <v>46307</v>
      </c>
      <c r="F350" t="inlineStr">
        <is>
          <t>VÄSTRA GÖTALANDS LÄN</t>
        </is>
      </c>
      <c r="G350" t="inlineStr">
        <is>
          <t>SVENLJUNGA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46307</v>
      </c>
      <c r="F351" t="inlineStr">
        <is>
          <t>VÄSTRA GÖTALANDS LÄN</t>
        </is>
      </c>
      <c r="G351" t="inlineStr">
        <is>
          <t>SVENLJUNGA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44804</v>
      </c>
      <c r="E352" s="1" t="n">
        <v>46307</v>
      </c>
      <c r="F352" t="inlineStr">
        <is>
          <t>VÄSTRA GÖTALANDS LÄN</t>
        </is>
      </c>
      <c r="G352" t="inlineStr">
        <is>
          <t>SVENLJUNGA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46307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44832</v>
      </c>
      <c r="E354" s="1" t="n">
        <v>46307</v>
      </c>
      <c r="F354" t="inlineStr">
        <is>
          <t>VÄSTRA GÖTALANDS LÄN</t>
        </is>
      </c>
      <c r="G354" t="inlineStr">
        <is>
          <t>SVENLJUNGA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45361</v>
      </c>
      <c r="E355" s="1" t="n">
        <v>46307</v>
      </c>
      <c r="F355" t="inlineStr">
        <is>
          <t>VÄSTRA GÖTALANDS LÄN</t>
        </is>
      </c>
      <c r="G355" t="inlineStr">
        <is>
          <t>SVENLJUNGA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46307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44895</v>
      </c>
      <c r="E357" s="1" t="n">
        <v>46307</v>
      </c>
      <c r="F357" t="inlineStr">
        <is>
          <t>VÄSTRA GÖTALANDS LÄN</t>
        </is>
      </c>
      <c r="G357" t="inlineStr">
        <is>
          <t>SVENLJUNGA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45742</v>
      </c>
      <c r="E358" s="1" t="n">
        <v>46307</v>
      </c>
      <c r="F358" t="inlineStr">
        <is>
          <t>VÄSTRA GÖTALANDS LÄN</t>
        </is>
      </c>
      <c r="G358" t="inlineStr">
        <is>
          <t>SVENLJUNGA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45224</v>
      </c>
      <c r="E359" s="1" t="n">
        <v>46307</v>
      </c>
      <c r="F359" t="inlineStr">
        <is>
          <t>VÄSTRA GÖTALANDS LÄN</t>
        </is>
      </c>
      <c r="G359" t="inlineStr">
        <is>
          <t>SVENLJUNGA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46307</v>
      </c>
      <c r="F360" t="inlineStr">
        <is>
          <t>VÄSTRA GÖTALANDS LÄN</t>
        </is>
      </c>
      <c r="G360" t="inlineStr">
        <is>
          <t>SVENLJUNGA</t>
        </is>
      </c>
      <c r="H360" t="inlineStr">
        <is>
          <t>Kommuner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46307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44964</v>
      </c>
      <c r="E362" s="1" t="n">
        <v>46307</v>
      </c>
      <c r="F362" t="inlineStr">
        <is>
          <t>VÄSTRA GÖTALANDS LÄN</t>
        </is>
      </c>
      <c r="G362" t="inlineStr">
        <is>
          <t>SVENLJUNGA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45763</v>
      </c>
      <c r="E363" s="1" t="n">
        <v>46307</v>
      </c>
      <c r="F363" t="inlineStr">
        <is>
          <t>VÄSTRA GÖTALANDS LÄN</t>
        </is>
      </c>
      <c r="G363" t="inlineStr">
        <is>
          <t>SVENLJUNGA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57169-2025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45979</v>
      </c>
      <c r="E364" s="1" t="n">
        <v>46307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45877</v>
      </c>
      <c r="E365" s="1" t="n">
        <v>46307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46307</v>
      </c>
      <c r="F366" t="inlineStr">
        <is>
          <t>VÄSTRA GÖTALANDS LÄN</t>
        </is>
      </c>
      <c r="G366" t="inlineStr">
        <is>
          <t>SVENLJUNGA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46307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46307</v>
      </c>
      <c r="F368" t="inlineStr">
        <is>
          <t>VÄSTRA GÖTALANDS LÄN</t>
        </is>
      </c>
      <c r="G368" t="inlineStr">
        <is>
          <t>SVENLJUNGA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46307</v>
      </c>
      <c r="F369" t="inlineStr">
        <is>
          <t>VÄSTRA GÖTALANDS LÄN</t>
        </is>
      </c>
      <c r="G369" t="inlineStr">
        <is>
          <t>SVENLJUNGA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46307</v>
      </c>
      <c r="F370" t="inlineStr">
        <is>
          <t>VÄSTRA GÖTALANDS LÄN</t>
        </is>
      </c>
      <c r="G370" t="inlineStr">
        <is>
          <t>SVENLJUNGA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12477-2025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46307</v>
      </c>
      <c r="F371" t="inlineStr">
        <is>
          <t>VÄSTRA GÖTALANDS LÄN</t>
        </is>
      </c>
      <c r="G371" t="inlineStr">
        <is>
          <t>SVENLJUNGA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44698</v>
      </c>
      <c r="E372" s="1" t="n">
        <v>46307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46307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52629-2024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45610</v>
      </c>
      <c r="E374" s="1" t="n">
        <v>46307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46307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46307</v>
      </c>
      <c r="F376" t="inlineStr">
        <is>
          <t>VÄSTRA GÖTALANDS LÄN</t>
        </is>
      </c>
      <c r="G376" t="inlineStr">
        <is>
          <t>SVENLJUNGA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46307</v>
      </c>
      <c r="F377" t="inlineStr">
        <is>
          <t>VÄSTRA GÖTALANDS LÄN</t>
        </is>
      </c>
      <c r="G377" t="inlineStr">
        <is>
          <t>SVENLJUNGA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46307</v>
      </c>
      <c r="F378" t="inlineStr">
        <is>
          <t>VÄSTRA GÖTALANDS LÄN</t>
        </is>
      </c>
      <c r="G378" t="inlineStr">
        <is>
          <t>SVENLJUNGA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46307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45181</v>
      </c>
      <c r="E380" s="1" t="n">
        <v>46307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46307</v>
      </c>
      <c r="F381" t="inlineStr">
        <is>
          <t>VÄSTRA GÖTALANDS LÄN</t>
        </is>
      </c>
      <c r="G381" t="inlineStr">
        <is>
          <t>SVENLJUNGA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46307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Kommuner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43877-2024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45572</v>
      </c>
      <c r="E383" s="1" t="n">
        <v>46307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46307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16280-2026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46307</v>
      </c>
      <c r="F385" t="inlineStr">
        <is>
          <t>VÄSTRA GÖTALANDS LÄN</t>
        </is>
      </c>
      <c r="G385" t="inlineStr">
        <is>
          <t>SVENLJUNGA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42028-2024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46307</v>
      </c>
      <c r="F386" t="inlineStr">
        <is>
          <t>VÄSTRA GÖTALANDS LÄN</t>
        </is>
      </c>
      <c r="G386" t="inlineStr">
        <is>
          <t>SVENLJUNGA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46307</v>
      </c>
      <c r="F387" t="inlineStr">
        <is>
          <t>VÄSTRA GÖTALANDS LÄN</t>
        </is>
      </c>
      <c r="G387" t="inlineStr">
        <is>
          <t>SVENLJUNGA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13777-2024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45391</v>
      </c>
      <c r="E388" s="1" t="n">
        <v>46307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46307</v>
      </c>
      <c r="F389" t="inlineStr">
        <is>
          <t>VÄSTRA GÖTALANDS LÄN</t>
        </is>
      </c>
      <c r="G389" t="inlineStr">
        <is>
          <t>SVENLJUNGA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41370-2024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45559</v>
      </c>
      <c r="E390" s="1" t="n">
        <v>46307</v>
      </c>
      <c r="F390" t="inlineStr">
        <is>
          <t>VÄSTRA GÖTALANDS LÄN</t>
        </is>
      </c>
      <c r="G390" t="inlineStr">
        <is>
          <t>SVENLJUNGA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46307</v>
      </c>
      <c r="F391" t="inlineStr">
        <is>
          <t>VÄSTRA GÖTALANDS LÄN</t>
        </is>
      </c>
      <c r="G391" t="inlineStr">
        <is>
          <t>SVENLJUNGA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44953</v>
      </c>
      <c r="E392" s="1" t="n">
        <v>46307</v>
      </c>
      <c r="F392" t="inlineStr">
        <is>
          <t>VÄSTRA GÖTALANDS LÄN</t>
        </is>
      </c>
      <c r="G392" t="inlineStr">
        <is>
          <t>SVENLJUNGA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45952</v>
      </c>
      <c r="E393" s="1" t="n">
        <v>46307</v>
      </c>
      <c r="F393" t="inlineStr">
        <is>
          <t>VÄSTRA GÖTALANDS LÄN</t>
        </is>
      </c>
      <c r="G393" t="inlineStr">
        <is>
          <t>SVENLJUNGA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45995</v>
      </c>
      <c r="E394" s="1" t="n">
        <v>46307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46001</v>
      </c>
      <c r="E395" s="1" t="n">
        <v>46307</v>
      </c>
      <c r="F395" t="inlineStr">
        <is>
          <t>VÄSTRA GÖTALANDS LÄN</t>
        </is>
      </c>
      <c r="G395" t="inlineStr">
        <is>
          <t>SVENLJUNGA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46002</v>
      </c>
      <c r="E396" s="1" t="n">
        <v>46307</v>
      </c>
      <c r="F396" t="inlineStr">
        <is>
          <t>VÄSTRA GÖTALANDS LÄN</t>
        </is>
      </c>
      <c r="G396" t="inlineStr">
        <is>
          <t>SVENLJUNGA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46002</v>
      </c>
      <c r="E397" s="1" t="n">
        <v>46307</v>
      </c>
      <c r="F397" t="inlineStr">
        <is>
          <t>VÄSTRA GÖTALANDS LÄN</t>
        </is>
      </c>
      <c r="G397" t="inlineStr">
        <is>
          <t>SVENLJUNGA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46307</v>
      </c>
      <c r="F398" t="inlineStr">
        <is>
          <t>VÄSTRA GÖTALANDS LÄN</t>
        </is>
      </c>
      <c r="G398" t="inlineStr">
        <is>
          <t>SVENLJUNGA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46307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45432</v>
      </c>
      <c r="E400" s="1" t="n">
        <v>46307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46307</v>
      </c>
      <c r="F401" t="inlineStr">
        <is>
          <t>VÄSTRA GÖTALANDS LÄN</t>
        </is>
      </c>
      <c r="G401" t="inlineStr">
        <is>
          <t>SVENLJUNGA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62332-2025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46307</v>
      </c>
      <c r="F402" t="inlineStr">
        <is>
          <t>VÄSTRA GÖTALANDS LÄN</t>
        </is>
      </c>
      <c r="G402" t="inlineStr">
        <is>
          <t>SVENLJUNGA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22183-2023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45069</v>
      </c>
      <c r="E403" s="1" t="n">
        <v>46307</v>
      </c>
      <c r="F403" t="inlineStr">
        <is>
          <t>VÄSTRA GÖTALANDS LÄN</t>
        </is>
      </c>
      <c r="G403" t="inlineStr">
        <is>
          <t>SVENLJUNGA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46307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46307</v>
      </c>
      <c r="F405" t="inlineStr">
        <is>
          <t>VÄSTRA GÖTALANDS LÄN</t>
        </is>
      </c>
      <c r="G405" t="inlineStr">
        <is>
          <t>SVENLJUNGA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46307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44588</v>
      </c>
      <c r="E407" s="1" t="n">
        <v>46307</v>
      </c>
      <c r="F407" t="inlineStr">
        <is>
          <t>VÄSTRA GÖTALANDS LÄN</t>
        </is>
      </c>
      <c r="G407" t="inlineStr">
        <is>
          <t>SVENLJUNGA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15164-2022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44658</v>
      </c>
      <c r="E408" s="1" t="n">
        <v>46307</v>
      </c>
      <c r="F408" t="inlineStr">
        <is>
          <t>VÄSTRA GÖTALANDS LÄN</t>
        </is>
      </c>
      <c r="G408" t="inlineStr">
        <is>
          <t>SVENLJUNGA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46307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62843-2025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46307</v>
      </c>
      <c r="F410" t="inlineStr">
        <is>
          <t>VÄSTRA GÖTALANDS LÄN</t>
        </is>
      </c>
      <c r="G410" t="inlineStr">
        <is>
          <t>SVENLJUNGA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46307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44564</v>
      </c>
      <c r="E412" s="1" t="n">
        <v>46307</v>
      </c>
      <c r="F412" t="inlineStr">
        <is>
          <t>VÄSTRA GÖTALANDS LÄN</t>
        </is>
      </c>
      <c r="G412" t="inlineStr">
        <is>
          <t>SVENLJUNGA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45363</v>
      </c>
      <c r="E413" s="1" t="n">
        <v>46307</v>
      </c>
      <c r="F413" t="inlineStr">
        <is>
          <t>VÄSTRA GÖTALANDS LÄN</t>
        </is>
      </c>
      <c r="G413" t="inlineStr">
        <is>
          <t>SVENLJUNGA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46307</v>
      </c>
      <c r="F414" t="inlineStr">
        <is>
          <t>VÄSTRA GÖTALANDS LÄN</t>
        </is>
      </c>
      <c r="G414" t="inlineStr">
        <is>
          <t>SVENLJUNGA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46307</v>
      </c>
      <c r="F415" t="inlineStr">
        <is>
          <t>VÄSTRA GÖTALANDS LÄN</t>
        </is>
      </c>
      <c r="G415" t="inlineStr">
        <is>
          <t>SVENLJUNGA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45709</v>
      </c>
      <c r="E416" s="1" t="n">
        <v>46307</v>
      </c>
      <c r="F416" t="inlineStr">
        <is>
          <t>VÄSTRA GÖTALANDS LÄN</t>
        </is>
      </c>
      <c r="G416" t="inlineStr">
        <is>
          <t>SVENLJUNGA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38637-2025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46307</v>
      </c>
      <c r="F417" t="inlineStr">
        <is>
          <t>VÄSTRA GÖTALANDS LÄN</t>
        </is>
      </c>
      <c r="G417" t="inlineStr">
        <is>
          <t>SVENLJUNGA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45735</v>
      </c>
      <c r="E418" s="1" t="n">
        <v>46307</v>
      </c>
      <c r="F418" t="inlineStr">
        <is>
          <t>VÄSTRA GÖTALANDS LÄN</t>
        </is>
      </c>
      <c r="G418" t="inlineStr">
        <is>
          <t>SVENLJUNGA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24392-2022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44726</v>
      </c>
      <c r="E419" s="1" t="n">
        <v>46307</v>
      </c>
      <c r="F419" t="inlineStr">
        <is>
          <t>VÄSTRA GÖTALANDS LÄN</t>
        </is>
      </c>
      <c r="G419" t="inlineStr">
        <is>
          <t>SVENLJUNGA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44615</v>
      </c>
      <c r="E420" s="1" t="n">
        <v>46307</v>
      </c>
      <c r="F420" t="inlineStr">
        <is>
          <t>VÄSTRA GÖTALANDS LÄN</t>
        </is>
      </c>
      <c r="G420" t="inlineStr">
        <is>
          <t>SVENLJUNGA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46307</v>
      </c>
      <c r="F421" t="inlineStr">
        <is>
          <t>VÄSTRA GÖTALANDS LÄN</t>
        </is>
      </c>
      <c r="G421" t="inlineStr">
        <is>
          <t>SVENLJUNGA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45316</v>
      </c>
      <c r="E422" s="1" t="n">
        <v>46307</v>
      </c>
      <c r="F422" t="inlineStr">
        <is>
          <t>VÄSTRA GÖTALANDS LÄN</t>
        </is>
      </c>
      <c r="G422" t="inlineStr">
        <is>
          <t>SVENLJUNGA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45274</v>
      </c>
      <c r="E423" s="1" t="n">
        <v>46307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55820-2025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45972</v>
      </c>
      <c r="E424" s="1" t="n">
        <v>46307</v>
      </c>
      <c r="F424" t="inlineStr">
        <is>
          <t>VÄSTRA GÖTALANDS LÄN</t>
        </is>
      </c>
      <c r="G424" t="inlineStr">
        <is>
          <t>SVENLJUNGA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46307</v>
      </c>
      <c r="F425" t="inlineStr">
        <is>
          <t>VÄSTRA GÖTALANDS LÄN</t>
        </is>
      </c>
      <c r="G425" t="inlineStr">
        <is>
          <t>SVENLJUNGA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45111</v>
      </c>
      <c r="E426" s="1" t="n">
        <v>46307</v>
      </c>
      <c r="F426" t="inlineStr">
        <is>
          <t>VÄSTRA GÖTALANDS LÄN</t>
        </is>
      </c>
      <c r="G426" t="inlineStr">
        <is>
          <t>SVENLJUNGA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45791</v>
      </c>
      <c r="E427" s="1" t="n">
        <v>46307</v>
      </c>
      <c r="F427" t="inlineStr">
        <is>
          <t>VÄSTRA GÖTALANDS LÄN</t>
        </is>
      </c>
      <c r="G427" t="inlineStr">
        <is>
          <t>SVENLJUNGA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46307</v>
      </c>
      <c r="F428" t="inlineStr">
        <is>
          <t>VÄSTRA GÖTALANDS LÄN</t>
        </is>
      </c>
      <c r="G428" t="inlineStr">
        <is>
          <t>SVENLJUNGA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45855</v>
      </c>
      <c r="E429" s="1" t="n">
        <v>46307</v>
      </c>
      <c r="F429" t="inlineStr">
        <is>
          <t>VÄSTRA GÖTALANDS LÄN</t>
        </is>
      </c>
      <c r="G429" t="inlineStr">
        <is>
          <t>SVENLJUNGA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46307</v>
      </c>
      <c r="F430" t="inlineStr">
        <is>
          <t>VÄSTRA GÖTALANDS LÄN</t>
        </is>
      </c>
      <c r="G430" t="inlineStr">
        <is>
          <t>SVENLJUNGA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46307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46307</v>
      </c>
      <c r="F432" t="inlineStr">
        <is>
          <t>VÄSTRA GÖTALANDS LÄN</t>
        </is>
      </c>
      <c r="G432" t="inlineStr">
        <is>
          <t>SVENLJUNGA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46307</v>
      </c>
      <c r="F433" t="inlineStr">
        <is>
          <t>VÄSTRA GÖTALANDS LÄN</t>
        </is>
      </c>
      <c r="G433" t="inlineStr">
        <is>
          <t>SVENLJUNGA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46307</v>
      </c>
      <c r="F434" t="inlineStr">
        <is>
          <t>VÄSTRA GÖTALANDS LÄN</t>
        </is>
      </c>
      <c r="G434" t="inlineStr">
        <is>
          <t>SVENLJUNGA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45615</v>
      </c>
      <c r="E435" s="1" t="n">
        <v>46307</v>
      </c>
      <c r="F435" t="inlineStr">
        <is>
          <t>VÄSTRA GÖTALANDS LÄN</t>
        </is>
      </c>
      <c r="G435" t="inlineStr">
        <is>
          <t>SVENLJUNGA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45747</v>
      </c>
      <c r="E436" s="1" t="n">
        <v>46307</v>
      </c>
      <c r="F436" t="inlineStr">
        <is>
          <t>VÄSTRA GÖTALANDS LÄN</t>
        </is>
      </c>
      <c r="G436" t="inlineStr">
        <is>
          <t>SVENLJUNGA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45790</v>
      </c>
      <c r="E437" s="1" t="n">
        <v>46307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45789</v>
      </c>
      <c r="E438" s="1" t="n">
        <v>46307</v>
      </c>
      <c r="F438" t="inlineStr">
        <is>
          <t>VÄSTRA GÖTALANDS LÄN</t>
        </is>
      </c>
      <c r="G438" t="inlineStr">
        <is>
          <t>SVENLJUNGA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46307</v>
      </c>
      <c r="F439" t="inlineStr">
        <is>
          <t>VÄSTRA GÖTALANDS LÄN</t>
        </is>
      </c>
      <c r="G439" t="inlineStr">
        <is>
          <t>SVENLJUNGA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44981</v>
      </c>
      <c r="E440" s="1" t="n">
        <v>46307</v>
      </c>
      <c r="F440" t="inlineStr">
        <is>
          <t>VÄSTRA GÖTALANDS LÄN</t>
        </is>
      </c>
      <c r="G440" t="inlineStr">
        <is>
          <t>SVENLJUNGA</t>
        </is>
      </c>
      <c r="I440" t="n">
        <v>12.7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46307</v>
      </c>
      <c r="F441" t="inlineStr">
        <is>
          <t>VÄSTRA GÖTALANDS LÄN</t>
        </is>
      </c>
      <c r="G441" t="inlineStr">
        <is>
          <t>SVENLJUNGA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45533</v>
      </c>
      <c r="E442" s="1" t="n">
        <v>46307</v>
      </c>
      <c r="F442" t="inlineStr">
        <is>
          <t>VÄSTRA GÖTALANDS LÄN</t>
        </is>
      </c>
      <c r="G442" t="inlineStr">
        <is>
          <t>SVENLJUNGA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30646-2025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46307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46307</v>
      </c>
      <c r="F444" t="inlineStr">
        <is>
          <t>VÄSTRA GÖTALANDS LÄN</t>
        </is>
      </c>
      <c r="G444" t="inlineStr">
        <is>
          <t>SVENLJUNGA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46307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46307</v>
      </c>
      <c r="F446" t="inlineStr">
        <is>
          <t>VÄSTRA GÖTALANDS LÄN</t>
        </is>
      </c>
      <c r="G446" t="inlineStr">
        <is>
          <t>SVENLJUNGA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46307</v>
      </c>
      <c r="F447" t="inlineStr">
        <is>
          <t>VÄSTRA GÖTALANDS LÄN</t>
        </is>
      </c>
      <c r="G447" t="inlineStr">
        <is>
          <t>SVENLJUNGA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46307</v>
      </c>
      <c r="F448" t="inlineStr">
        <is>
          <t>VÄSTRA GÖTALANDS LÄN</t>
        </is>
      </c>
      <c r="G448" t="inlineStr">
        <is>
          <t>SVENLJUNGA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20988-2026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46307</v>
      </c>
      <c r="F449" t="inlineStr">
        <is>
          <t>VÄSTRA GÖTALANDS LÄN</t>
        </is>
      </c>
      <c r="G449" t="inlineStr">
        <is>
          <t>SVENLJUNGA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46307</v>
      </c>
      <c r="F450" t="inlineStr">
        <is>
          <t>VÄSTRA GÖTALANDS LÄN</t>
        </is>
      </c>
      <c r="G450" t="inlineStr">
        <is>
          <t>SVENLJUNGA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46307</v>
      </c>
      <c r="F451" t="inlineStr">
        <is>
          <t>VÄSTRA GÖTALANDS LÄN</t>
        </is>
      </c>
      <c r="G451" t="inlineStr">
        <is>
          <t>SVENLJUNGA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46307</v>
      </c>
      <c r="F452" t="inlineStr">
        <is>
          <t>VÄSTRA GÖTALANDS LÄN</t>
        </is>
      </c>
      <c r="G452" t="inlineStr">
        <is>
          <t>SVENLJUNGA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8142-2026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46307</v>
      </c>
      <c r="F453" t="inlineStr">
        <is>
          <t>VÄSTRA GÖTALANDS LÄN</t>
        </is>
      </c>
      <c r="G453" t="inlineStr">
        <is>
          <t>SVENLJUNGA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21904-2026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46307</v>
      </c>
      <c r="F454" t="inlineStr">
        <is>
          <t>VÄSTRA GÖTALANDS LÄN</t>
        </is>
      </c>
      <c r="G454" t="inlineStr">
        <is>
          <t>SVENLJUNGA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21623-2026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46307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46307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Sveaskog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46307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Sveaskog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46307</v>
      </c>
      <c r="F458" t="inlineStr">
        <is>
          <t>VÄSTRA GÖTALANDS LÄN</t>
        </is>
      </c>
      <c r="G458" t="inlineStr">
        <is>
          <t>SVENLJUNGA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46307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8624-2026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46307</v>
      </c>
      <c r="F460" t="inlineStr">
        <is>
          <t>VÄSTRA GÖTALANDS LÄN</t>
        </is>
      </c>
      <c r="G460" t="inlineStr">
        <is>
          <t>SVENLJUNGA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8623-2026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46066</v>
      </c>
      <c r="E461" s="1" t="n">
        <v>46307</v>
      </c>
      <c r="F461" t="inlineStr">
        <is>
          <t>VÄSTRA GÖTALANDS LÄN</t>
        </is>
      </c>
      <c r="G461" t="inlineStr">
        <is>
          <t>SVENLJUNGA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10359-2026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46076</v>
      </c>
      <c r="E462" s="1" t="n">
        <v>46307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Kommuner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46078</v>
      </c>
      <c r="E463" s="1" t="n">
        <v>46307</v>
      </c>
      <c r="F463" t="inlineStr">
        <is>
          <t>VÄSTRA GÖTALANDS LÄN</t>
        </is>
      </c>
      <c r="G463" t="inlineStr">
        <is>
          <t>SVENLJUNGA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46307</v>
      </c>
      <c r="F464" t="inlineStr">
        <is>
          <t>VÄSTRA GÖTALANDS LÄN</t>
        </is>
      </c>
      <c r="G464" t="inlineStr">
        <is>
          <t>SVENLJUNGA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19319-2023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45048</v>
      </c>
      <c r="E465" s="1" t="n">
        <v>46307</v>
      </c>
      <c r="F465" t="inlineStr">
        <is>
          <t>VÄSTRA GÖTALANDS LÄN</t>
        </is>
      </c>
      <c r="G465" t="inlineStr">
        <is>
          <t>SVENLJUNGA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46307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46307</v>
      </c>
      <c r="F467" t="inlineStr">
        <is>
          <t>VÄSTRA GÖTALANDS LÄN</t>
        </is>
      </c>
      <c r="G467" t="inlineStr">
        <is>
          <t>SVENLJUNGA</t>
        </is>
      </c>
      <c r="H467" t="inlineStr">
        <is>
          <t>Sveaskog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46307</v>
      </c>
      <c r="F468" t="inlineStr">
        <is>
          <t>VÄSTRA GÖTALANDS LÄN</t>
        </is>
      </c>
      <c r="G468" t="inlineStr">
        <is>
          <t>SVENLJUNGA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46307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Sveaskog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46085</v>
      </c>
      <c r="E470" s="1" t="n">
        <v>46307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Sveaskog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45738</v>
      </c>
      <c r="E471" s="1" t="n">
        <v>46307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46307</v>
      </c>
      <c r="F472" t="inlineStr">
        <is>
          <t>VÄSTRA GÖTALANDS LÄN</t>
        </is>
      </c>
      <c r="G472" t="inlineStr">
        <is>
          <t>SVENLJUNGA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46307</v>
      </c>
      <c r="F473" t="inlineStr">
        <is>
          <t>VÄSTRA GÖTALANDS LÄN</t>
        </is>
      </c>
      <c r="G473" t="inlineStr">
        <is>
          <t>SVENLJUNGA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46307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42052-2025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45902</v>
      </c>
      <c r="E475" s="1" t="n">
        <v>46307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46307</v>
      </c>
      <c r="F476" t="inlineStr">
        <is>
          <t>VÄSTRA GÖTALANDS LÄN</t>
        </is>
      </c>
      <c r="G476" t="inlineStr">
        <is>
          <t>SVENLJUNGA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46307</v>
      </c>
      <c r="F477" t="inlineStr">
        <is>
          <t>VÄSTRA GÖTALANDS LÄN</t>
        </is>
      </c>
      <c r="G477" t="inlineStr">
        <is>
          <t>SVENLJUNGA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46307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46307</v>
      </c>
      <c r="F479" t="inlineStr">
        <is>
          <t>VÄSTRA GÖTALANDS LÄN</t>
        </is>
      </c>
      <c r="G479" t="inlineStr">
        <is>
          <t>SVENLJUNGA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46307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46307</v>
      </c>
      <c r="F481" t="inlineStr">
        <is>
          <t>VÄSTRA GÖTALANDS LÄN</t>
        </is>
      </c>
      <c r="G481" t="inlineStr">
        <is>
          <t>SVENLJUNGA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45834</v>
      </c>
      <c r="E482" s="1" t="n">
        <v>46307</v>
      </c>
      <c r="F482" t="inlineStr">
        <is>
          <t>VÄSTRA GÖTALANDS LÄN</t>
        </is>
      </c>
      <c r="G482" t="inlineStr">
        <is>
          <t>SVENLJUNGA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45785</v>
      </c>
      <c r="E483" s="1" t="n">
        <v>46307</v>
      </c>
      <c r="F483" t="inlineStr">
        <is>
          <t>VÄSTRA GÖTALANDS LÄN</t>
        </is>
      </c>
      <c r="G483" t="inlineStr">
        <is>
          <t>SVENLJUNGA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24822-2026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46307</v>
      </c>
      <c r="F484" t="inlineStr">
        <is>
          <t>VÄSTRA GÖTALANDS LÄN</t>
        </is>
      </c>
      <c r="G484" t="inlineStr">
        <is>
          <t>SVENLJUNGA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46307</v>
      </c>
      <c r="F485" t="inlineStr">
        <is>
          <t>VÄSTRA GÖTALANDS LÄN</t>
        </is>
      </c>
      <c r="G485" t="inlineStr">
        <is>
          <t>SVENLJUNGA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46307</v>
      </c>
      <c r="F486" t="inlineStr">
        <is>
          <t>VÄSTRA GÖTALANDS LÄN</t>
        </is>
      </c>
      <c r="G486" t="inlineStr">
        <is>
          <t>SVENLJUNGA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46307</v>
      </c>
      <c r="F487" t="inlineStr">
        <is>
          <t>VÄSTRA GÖTALANDS LÄN</t>
        </is>
      </c>
      <c r="G487" t="inlineStr">
        <is>
          <t>SVENLJUNGA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46307</v>
      </c>
      <c r="F488" t="inlineStr">
        <is>
          <t>VÄSTRA GÖTALANDS LÄN</t>
        </is>
      </c>
      <c r="G488" t="inlineStr">
        <is>
          <t>SVENLJUNGA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46307</v>
      </c>
      <c r="F489" t="inlineStr">
        <is>
          <t>VÄSTRA GÖTALANDS LÄN</t>
        </is>
      </c>
      <c r="G489" t="inlineStr">
        <is>
          <t>SVENLJUNGA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24824-2026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46307</v>
      </c>
      <c r="F490" t="inlineStr">
        <is>
          <t>VÄSTRA GÖTALANDS LÄN</t>
        </is>
      </c>
      <c r="G490" t="inlineStr">
        <is>
          <t>SVENLJUNGA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46307</v>
      </c>
      <c r="F491" t="inlineStr">
        <is>
          <t>VÄSTRA GÖTALANDS LÄN</t>
        </is>
      </c>
      <c r="G491" t="inlineStr">
        <is>
          <t>SVENLJUNGA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46307</v>
      </c>
      <c r="F492" t="inlineStr">
        <is>
          <t>VÄSTRA GÖTALANDS LÄN</t>
        </is>
      </c>
      <c r="G492" t="inlineStr">
        <is>
          <t>SVENLJUNGA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46307</v>
      </c>
      <c r="F493" t="inlineStr">
        <is>
          <t>VÄSTRA GÖTALANDS LÄN</t>
        </is>
      </c>
      <c r="G493" t="inlineStr">
        <is>
          <t>SVENLJUNGA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46307</v>
      </c>
      <c r="F494" t="inlineStr">
        <is>
          <t>VÄSTRA GÖTALANDS LÄN</t>
        </is>
      </c>
      <c r="G494" t="inlineStr">
        <is>
          <t>SVENLJUNGA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46307</v>
      </c>
      <c r="F495" t="inlineStr">
        <is>
          <t>VÄSTRA GÖTALANDS LÄN</t>
        </is>
      </c>
      <c r="G495" t="inlineStr">
        <is>
          <t>SVENLJUNGA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46307</v>
      </c>
      <c r="F496" t="inlineStr">
        <is>
          <t>VÄSTRA GÖTALANDS LÄN</t>
        </is>
      </c>
      <c r="G496" t="inlineStr">
        <is>
          <t>SVENLJUNGA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46307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46307</v>
      </c>
      <c r="F498" t="inlineStr">
        <is>
          <t>VÄSTRA GÖTALANDS LÄN</t>
        </is>
      </c>
      <c r="G498" t="inlineStr">
        <is>
          <t>SVENLJUNGA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30361-2026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46209</v>
      </c>
      <c r="E499" s="1" t="n">
        <v>46307</v>
      </c>
      <c r="F499" t="inlineStr">
        <is>
          <t>VÄSTRA GÖTALANDS LÄN</t>
        </is>
      </c>
      <c r="G499" t="inlineStr">
        <is>
          <t>SVENLJUNGA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46259</v>
      </c>
      <c r="E500" s="1" t="n">
        <v>46307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46307</v>
      </c>
      <c r="F501" t="inlineStr">
        <is>
          <t>VÄSTRA GÖTALANDS LÄN</t>
        </is>
      </c>
      <c r="G501" t="inlineStr">
        <is>
          <t>SVENLJUNGA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46307</v>
      </c>
      <c r="F502" t="inlineStr">
        <is>
          <t>VÄSTRA GÖTALANDS LÄN</t>
        </is>
      </c>
      <c r="G502" t="inlineStr">
        <is>
          <t>SVENLJUNGA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46307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46307</v>
      </c>
      <c r="F504" t="inlineStr">
        <is>
          <t>VÄSTRA GÖTALANDS LÄN</t>
        </is>
      </c>
      <c r="G504" t="inlineStr">
        <is>
          <t>SVENLJUNGA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46269</v>
      </c>
      <c r="E505" s="1" t="n">
        <v>46307</v>
      </c>
      <c r="F505" t="inlineStr">
        <is>
          <t>VÄSTRA GÖTALANDS LÄN</t>
        </is>
      </c>
      <c r="G505" t="inlineStr">
        <is>
          <t>SVENLJUNGA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46274</v>
      </c>
      <c r="E506" s="1" t="n">
        <v>46307</v>
      </c>
      <c r="F506" t="inlineStr">
        <is>
          <t>VÄSTRA GÖTALANDS LÄN</t>
        </is>
      </c>
      <c r="G506" t="inlineStr">
        <is>
          <t>SVENLJUNGA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37217-2026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46274</v>
      </c>
      <c r="E507" s="1" t="n">
        <v>46307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46231</v>
      </c>
      <c r="E508" s="1" t="n">
        <v>46307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Kyrkan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46274</v>
      </c>
      <c r="E509" s="1" t="n">
        <v>46307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46274</v>
      </c>
      <c r="E510" s="1" t="n">
        <v>46307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37100-2026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46274</v>
      </c>
      <c r="E511" s="1" t="n">
        <v>46307</v>
      </c>
      <c r="F511" t="inlineStr">
        <is>
          <t>VÄSTRA GÖTALANDS LÄN</t>
        </is>
      </c>
      <c r="G511" t="inlineStr">
        <is>
          <t>SVENLJUNGA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36980-2026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46273</v>
      </c>
      <c r="E512" s="1" t="n">
        <v>46307</v>
      </c>
      <c r="F512" t="inlineStr">
        <is>
          <t>VÄSTRA GÖTALANDS LÄN</t>
        </is>
      </c>
      <c r="G512" t="inlineStr">
        <is>
          <t>SVENLJUNGA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46307</v>
      </c>
      <c r="F513" t="inlineStr">
        <is>
          <t>VÄSTRA GÖTALANDS LÄN</t>
        </is>
      </c>
      <c r="G513" t="inlineStr">
        <is>
          <t>SVENLJUNGA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46307</v>
      </c>
      <c r="F514" t="inlineStr">
        <is>
          <t>VÄSTRA GÖTALANDS LÄN</t>
        </is>
      </c>
      <c r="G514" t="inlineStr">
        <is>
          <t>SVENLJUNGA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46282</v>
      </c>
      <c r="E515" s="1" t="n">
        <v>46307</v>
      </c>
      <c r="F515" t="inlineStr">
        <is>
          <t>VÄSTRA GÖTALANDS LÄN</t>
        </is>
      </c>
      <c r="G515" t="inlineStr">
        <is>
          <t>SVENLJUNGA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46307</v>
      </c>
      <c r="F516" t="inlineStr">
        <is>
          <t>VÄSTRA GÖTALANDS LÄN</t>
        </is>
      </c>
      <c r="G516" t="inlineStr">
        <is>
          <t>SVENLJUNGA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46307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46307</v>
      </c>
      <c r="F518" t="inlineStr">
        <is>
          <t>VÄSTRA GÖTALANDS LÄN</t>
        </is>
      </c>
      <c r="G518" t="inlineStr">
        <is>
          <t>SVENLJUNGA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40112-2026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46307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46294</v>
      </c>
      <c r="E520" s="1" t="n">
        <v>46307</v>
      </c>
      <c r="F520" t="inlineStr">
        <is>
          <t>VÄSTRA GÖTALANDS LÄN</t>
        </is>
      </c>
      <c r="G520" t="inlineStr">
        <is>
          <t>SVENLJUNGA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46307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46307</v>
      </c>
      <c r="F522" t="inlineStr">
        <is>
          <t>VÄSTRA GÖTALANDS LÄN</t>
        </is>
      </c>
      <c r="G522" t="inlineStr">
        <is>
          <t>SVENLJUNGA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46307</v>
      </c>
      <c r="F523" t="inlineStr">
        <is>
          <t>VÄSTRA GÖTALANDS LÄN</t>
        </is>
      </c>
      <c r="G523" t="inlineStr">
        <is>
          <t>SVENLJUNGA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46253</v>
      </c>
      <c r="E524" s="1" t="n">
        <v>46307</v>
      </c>
      <c r="F524" t="inlineStr">
        <is>
          <t>VÄSTRA GÖTALANDS LÄN</t>
        </is>
      </c>
      <c r="G524" t="inlineStr">
        <is>
          <t>SVENLJUNGA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46307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46307</v>
      </c>
      <c r="F526" t="inlineStr">
        <is>
          <t>VÄSTRA GÖTALANDS LÄN</t>
        </is>
      </c>
      <c r="G526" t="inlineStr">
        <is>
          <t>SVENLJUNGA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46307</v>
      </c>
      <c r="F527" t="inlineStr">
        <is>
          <t>VÄSTRA GÖTALANDS LÄN</t>
        </is>
      </c>
      <c r="G527" t="inlineStr">
        <is>
          <t>SVENLJUNGA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46307</v>
      </c>
      <c r="F528" t="inlineStr">
        <is>
          <t>VÄSTRA GÖTALANDS LÄN</t>
        </is>
      </c>
      <c r="G528" t="inlineStr">
        <is>
          <t>SVENLJUNGA</t>
        </is>
      </c>
      <c r="H528" t="inlineStr">
        <is>
          <t>Kyrkan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46307</v>
      </c>
      <c r="F529" t="inlineStr">
        <is>
          <t>VÄSTRA GÖTALANDS LÄN</t>
        </is>
      </c>
      <c r="G529" t="inlineStr">
        <is>
          <t>SVENLJUNGA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46307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46199</v>
      </c>
      <c r="E531" s="1" t="n">
        <v>46307</v>
      </c>
      <c r="F531" t="inlineStr">
        <is>
          <t>VÄSTRA GÖTALANDS LÄN</t>
        </is>
      </c>
      <c r="G531" t="inlineStr">
        <is>
          <t>SVENLJUNGA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46307</v>
      </c>
      <c r="F532" t="inlineStr">
        <is>
          <t>VÄSTRA GÖTALANDS LÄN</t>
        </is>
      </c>
      <c r="G532" t="inlineStr">
        <is>
          <t>SVENLJUNGA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46301</v>
      </c>
      <c r="E533" s="1" t="n">
        <v>46307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46307</v>
      </c>
      <c r="F534" t="inlineStr">
        <is>
          <t>VÄSTRA GÖTALANDS LÄN</t>
        </is>
      </c>
      <c r="G534" t="inlineStr">
        <is>
          <t>SVENLJUNGA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46260</v>
      </c>
      <c r="E535" s="1" t="n">
        <v>46307</v>
      </c>
      <c r="F535" t="inlineStr">
        <is>
          <t>VÄSTRA GÖTALANDS LÄN</t>
        </is>
      </c>
      <c r="G535" t="inlineStr">
        <is>
          <t>SVENLJUNGA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46304</v>
      </c>
      <c r="E536" s="1" t="n">
        <v>46307</v>
      </c>
      <c r="F536" t="inlineStr">
        <is>
          <t>VÄSTRA GÖTALANDS LÄN</t>
        </is>
      </c>
      <c r="G536" t="inlineStr">
        <is>
          <t>SVENLJUNGA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46304</v>
      </c>
      <c r="E537" s="1" t="n">
        <v>46307</v>
      </c>
      <c r="F537" t="inlineStr">
        <is>
          <t>VÄSTRA GÖTALANDS LÄN</t>
        </is>
      </c>
      <c r="G537" t="inlineStr">
        <is>
          <t>SVENLJUNGA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46307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46307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46307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46307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46307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46307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46307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46307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46307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46307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46307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44658</v>
      </c>
      <c r="E549" s="1" t="n">
        <v>46307</v>
      </c>
      <c r="F549" t="inlineStr">
        <is>
          <t>VÄSTRA GÖTALANDS LÄN</t>
        </is>
      </c>
      <c r="G549" t="inlineStr">
        <is>
          <t>SVENLJUNGA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10475-2021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46307</v>
      </c>
      <c r="F550" t="inlineStr">
        <is>
          <t>VÄSTRA GÖTALANDS LÄN</t>
        </is>
      </c>
      <c r="G550" t="inlineStr">
        <is>
          <t>SVENLJUNGA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2898-2022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46307</v>
      </c>
      <c r="F551" t="inlineStr">
        <is>
          <t>VÄSTRA GÖTALANDS LÄN</t>
        </is>
      </c>
      <c r="G551" t="inlineStr">
        <is>
          <t>SVENLJUNGA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2035-2022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44671</v>
      </c>
      <c r="E552" s="1" t="n">
        <v>46307</v>
      </c>
      <c r="F552" t="inlineStr">
        <is>
          <t>VÄSTRA GÖTALANDS LÄN</t>
        </is>
      </c>
      <c r="G552" t="inlineStr">
        <is>
          <t>SVENLJUNGA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46307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46307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46307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46307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46307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46307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46307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46307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46307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46307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46307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46307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46307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46307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46307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46307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46307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46307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46307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46307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46307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46307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46307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46307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46307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46307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7842-2021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44481</v>
      </c>
      <c r="E579" s="1" t="n">
        <v>46307</v>
      </c>
      <c r="F579" t="inlineStr">
        <is>
          <t>VÄSTRA GÖTALANDS LÄN</t>
        </is>
      </c>
      <c r="G579" t="inlineStr">
        <is>
          <t>SVENLJUNGA</t>
        </is>
      </c>
      <c r="I579" t="n">
        <v>35.8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1468-2025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46307</v>
      </c>
      <c r="F580" t="inlineStr">
        <is>
          <t>VÄSTRA GÖTALANDS LÄN</t>
        </is>
      </c>
      <c r="G580" t="inlineStr">
        <is>
          <t>SVENLJUNGA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1469-2025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46307</v>
      </c>
      <c r="F581" t="inlineStr">
        <is>
          <t>VÄSTRA GÖTALANDS LÄN</t>
        </is>
      </c>
      <c r="G581" t="inlineStr">
        <is>
          <t>SVENLJUNGA</t>
        </is>
      </c>
      <c r="I581" t="n">
        <v>25.8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1481-2025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45789</v>
      </c>
      <c r="E582" s="1" t="n">
        <v>46307</v>
      </c>
      <c r="F582" t="inlineStr">
        <is>
          <t>VÄSTRA GÖTALANDS LÄN</t>
        </is>
      </c>
      <c r="G582" t="inlineStr">
        <is>
          <t>SVENLJUNGA</t>
        </is>
      </c>
      <c r="I582" t="n">
        <v>29.3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46307</v>
      </c>
      <c r="F583" t="inlineStr">
        <is>
          <t>VÄSTRA GÖTALANDS LÄN</t>
        </is>
      </c>
      <c r="G583" t="inlineStr">
        <is>
          <t>SVENLJUNGA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1918-2025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45826</v>
      </c>
      <c r="E584" s="1" t="n">
        <v>46307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4933-2024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45627</v>
      </c>
      <c r="E585" s="1" t="n">
        <v>46307</v>
      </c>
      <c r="F585" t="inlineStr">
        <is>
          <t>VÄSTRA GÖTALANDS LÄN</t>
        </is>
      </c>
      <c r="G585" t="inlineStr">
        <is>
          <t>SVENLJUNGA</t>
        </is>
      </c>
      <c r="I585" t="n">
        <v>19.5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45687</v>
      </c>
      <c r="E586" s="1" t="n">
        <v>46307</v>
      </c>
      <c r="F586" t="inlineStr">
        <is>
          <t>VÄSTRA GÖTALANDS LÄN</t>
        </is>
      </c>
      <c r="G586" t="inlineStr">
        <is>
          <t>SVENLJUNGA</t>
        </is>
      </c>
      <c r="I586" t="n">
        <v>34.5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46307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46307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46307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46307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46307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46307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46307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46307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46307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789-2026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46307</v>
      </c>
      <c r="F596" t="inlineStr">
        <is>
          <t>VÄSTRA GÖTALANDS LÄN</t>
        </is>
      </c>
      <c r="G596" t="inlineStr">
        <is>
          <t>SVENLJUNGA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790-2026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46307</v>
      </c>
      <c r="F597" t="inlineStr">
        <is>
          <t>VÄSTRA GÖTALANDS LÄN</t>
        </is>
      </c>
      <c r="G597" t="inlineStr">
        <is>
          <t>SVENLJUNGA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801-2026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46100</v>
      </c>
      <c r="E598" s="1" t="n">
        <v>46307</v>
      </c>
      <c r="F598" t="inlineStr">
        <is>
          <t>VÄSTRA GÖTALANDS LÄN</t>
        </is>
      </c>
      <c r="G598" t="inlineStr">
        <is>
          <t>SVENLJUNGA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46307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46307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46307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46307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46307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46307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2026-10-12T02:00:38Z</dcterms:created>
  <dcterms:modified xmlns:dcterms="http://purl.org/dc/terms/" xmlns:xsi="http://www.w3.org/2001/XMLSchema-instance" xsi:type="dcterms:W3CDTF">2026-10-12T02:00:38Z</dcterms:modified>
</cp:coreProperties>
</file>